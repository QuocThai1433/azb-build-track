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ngQuan" sheetId="1" state="visible" r:id="rId3"/>
    <sheet name="TienDo" sheetId="2" state="visible" r:id="rId4"/>
    <sheet name="NguonLuc" sheetId="3" state="visible" r:id="rId5"/>
    <sheet name="BienPhap" sheetId="4" state="visible" r:id="rId6"/>
    <sheet name="HSSE" sheetId="5" state="visible" r:id="rId7"/>
    <sheet name="ChiPhi" sheetId="6" state="visible" r:id="rId8"/>
    <sheet name="RuiRo" sheetId="7" state="visible" r:id="rId9"/>
  </sheets>
  <definedNames>
    <definedName function="false" hidden="false" localSheetId="1" name="_xlnm.Print_Titles" vbProcedure="false">TienDo!$6:$7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<sst xmlns="http://schemas.openxmlformats.org/spreadsheetml/2006/main" count="1141" uniqueCount="740">
  <si>
    <t xml:space="preserve">KẾ HOẠCH THI CÔNG TỔNG THỂ – BÁO CÁO LÃNH ĐẠO</t>
  </si>
  <si>
    <t xml:space="preserve">Dự án: Nhà máy sản xuất các sản phẩm sau thép | Tổng hợp từ Tổng tiến độ Rev 01 (29/06/2026) và bảng khối lượng Prelim Rev 00</t>
  </si>
  <si>
    <t xml:space="preserve">1. THÔNG TIN CHUNG</t>
  </si>
  <si>
    <t xml:space="preserve">Dự án</t>
  </si>
  <si>
    <t xml:space="preserve">Nhà máy sản xuất các sản phẩm sau thép</t>
  </si>
  <si>
    <t xml:space="preserve">Khách hàng / CĐT (theo logo trên bảng tiến độ)</t>
  </si>
  <si>
    <t xml:space="preserve">Tôn Đông Á</t>
  </si>
  <si>
    <t xml:space="preserve">Nhà thầu lập tiến độ</t>
  </si>
  <si>
    <t xml:space="preserve">AZB (Build Trust on Discipline)</t>
  </si>
  <si>
    <t xml:space="preserve">Gói thầu (theo tên file bảng khối lượng)</t>
  </si>
  <si>
    <t xml:space="preserve">Gói C, D</t>
  </si>
  <si>
    <t xml:space="preserve">Hạng mục chính</t>
  </si>
  <si>
    <t xml:space="preserve">Nhà xưởng CM5–CM7, kho thành phẩm, kho bán thành phẩm; nhà văn phòng 2 tầng; nhà đóng container; cầu ống; trạm cân; nhà bảo vệ &amp; hàng rào; cột cờ; cổng &amp; bảng hiệu; hạ tầng (thoát nước mưa/thải, đường nội bộ, bó vỉa, cấp nước)</t>
  </si>
  <si>
    <t xml:space="preserve">Tài liệu gốc</t>
  </si>
  <si>
    <t xml:space="preserve">Tổng tiến độ thi công phối hợp Rev 01 (29/06/2026); TON_DONG_A_Goi_C_D_PCCC-PRELIM_AZB Rev 00</t>
  </si>
  <si>
    <t xml:space="preserve">2. CHỈ SỐ CHÍNH (công thức liên kết các sheet)</t>
  </si>
  <si>
    <t xml:space="preserve">Ngày báo cáo</t>
  </si>
  <si>
    <t xml:space="preserve">Sửa tại TienDo!D3</t>
  </si>
  <si>
    <t xml:space="preserve">Ngày bắt đầu (sớm nhất)</t>
  </si>
  <si>
    <t xml:space="preserve">ID 1</t>
  </si>
  <si>
    <t xml:space="preserve">Ngày hoàn thành (muộn nhất)</t>
  </si>
  <si>
    <t xml:space="preserve">ID 1, 84, 85</t>
  </si>
  <si>
    <t xml:space="preserve">Tổng thời gian (ngày lịch)</t>
  </si>
  <si>
    <t xml:space="preserve">Chưa tách Chủ nhật/lễ/Tết (RuiRo #6)</t>
  </si>
  <si>
    <t xml:space="preserve">% thời gian dự án đã trôi qua theo lịch</t>
  </si>
  <si>
    <t xml:space="preserve">Tại ngày báo cáo</t>
  </si>
  <si>
    <t xml:space="preserve">Số dòng trong WBS</t>
  </si>
  <si>
    <t xml:space="preserve">Gồm nhóm tổng hợp</t>
  </si>
  <si>
    <t xml:space="preserve">Số công việc chi tiết</t>
  </si>
  <si>
    <t xml:space="preserve">Công việc chi tiết đang thi công theo KH</t>
  </si>
  <si>
    <t xml:space="preserve">Theo kế hoạch, chưa phải thực tế</t>
  </si>
  <si>
    <t xml:space="preserve">Công việc chi tiết đã đến hạn xong theo KH</t>
  </si>
  <si>
    <t xml:space="preserve">Theo kế hoạch, cần đối chiếu thực tế</t>
  </si>
  <si>
    <t xml:space="preserve">Dòng có số ngày lệch với ngày tháng</t>
  </si>
  <si>
    <t xml:space="preserve">ID 8 (RuiRo #3)</t>
  </si>
  <si>
    <t xml:space="preserve">Công việc chi tiết giao kỳ nghỉ Tết (giả định)</t>
  </si>
  <si>
    <t xml:space="preserve">Xem TienDo cột L</t>
  </si>
  <si>
    <t xml:space="preserve">Ban chỉ huy (người)</t>
  </si>
  <si>
    <t xml:space="preserve">NguonLuc</t>
  </si>
  <si>
    <t xml:space="preserve">Công nhân cao điểm (người)</t>
  </si>
  <si>
    <t xml:space="preserve">HSSE</t>
  </si>
  <si>
    <t xml:space="preserve">Tổng chi phí phục vụ thi công – Prelim (VND, chưa VAT)</t>
  </si>
  <si>
    <t xml:space="preserve">ChiPhi</t>
  </si>
  <si>
    <t xml:space="preserve">Prelim / giá trị hợp đồng 192 tỷ</t>
  </si>
  <si>
    <t xml:space="preserve">Hoặc 5,53% nếu 280 tỷ (RuiRo #13)</t>
  </si>
  <si>
    <t xml:space="preserve">Số kiến nghị/rủi ro mức Cao</t>
  </si>
  <si>
    <t xml:space="preserve">Xem sheet RuiRo</t>
  </si>
  <si>
    <t xml:space="preserve">3. CÁC MỐC CHÍNH &amp; DỰ TRỮ THỜI GIAN SO VỚI MỐC CUỐI</t>
  </si>
  <si>
    <t xml:space="preserve">ID</t>
  </si>
  <si>
    <t xml:space="preserve">Mốc</t>
  </si>
  <si>
    <t xml:space="preserve">Ngày</t>
  </si>
  <si>
    <t xml:space="preserve">Còn lại (+) / đã qua (–) so với ngày BC (ngày)</t>
  </si>
  <si>
    <t xml:space="preserve">Dự trữ so với mốc cuối (ngày)</t>
  </si>
  <si>
    <t xml:space="preserve">Trạng thái theo KH</t>
  </si>
  <si>
    <t xml:space="preserve">Ghi chú</t>
  </si>
  <si>
    <t xml:space="preserve">Khởi công / bắt đầu công tác chuẩn bị</t>
  </si>
  <si>
    <t xml:space="preserve">Bắt đầu ép cọc đại trà</t>
  </si>
  <si>
    <t xml:space="preserve">Hoàn thành ép cọc nhà Văn phòng</t>
  </si>
  <si>
    <t xml:space="preserve">Hoàn thành ép cọc nhà Xưởng</t>
  </si>
  <si>
    <t xml:space="preserve">Móng xưởng đã chạy từ 25/07</t>
  </si>
  <si>
    <t xml:space="preserve">Hoàn thành dựng kết cấu thép nhà Văn phòng</t>
  </si>
  <si>
    <t xml:space="preserve">Hoàn thành ép cọc hạng mục phụ trợ</t>
  </si>
  <si>
    <t xml:space="preserve">Hoàn thành móng, cổ cột, đà kiềng nhà Xưởng</t>
  </si>
  <si>
    <t xml:space="preserve">Hoàn thành trạm cân</t>
  </si>
  <si>
    <t xml:space="preserve">Hoàn thành cầu ống</t>
  </si>
  <si>
    <t xml:space="preserve">Hoàn thành nhà đóng container</t>
  </si>
  <si>
    <t xml:space="preserve">Bàn giao nhà Văn phòng</t>
  </si>
  <si>
    <t xml:space="preserve">Hoàn thành đổ bê tông sàn nền nhà Xưởng</t>
  </si>
  <si>
    <t xml:space="preserve">Hoàn thành kết cấu thép nhà Xưởng</t>
  </si>
  <si>
    <t xml:space="preserve">Hoàn thành nhà Xưởng (kể cả test MEP)</t>
  </si>
  <si>
    <t xml:space="preserve">Hoàn thành hệ thống thoát nước mưa &amp; nước thải</t>
  </si>
  <si>
    <t xml:space="preserve">Hoàn thành hệ thống cấp nước sản xuất &amp; sinh hoạt</t>
  </si>
  <si>
    <t xml:space="preserve">Sát Tết</t>
  </si>
  <si>
    <t xml:space="preserve">Hoàn thành cột cờ</t>
  </si>
  <si>
    <t xml:space="preserve">Trùng Tết</t>
  </si>
  <si>
    <t xml:space="preserve">Hoàn thành cổng &amp; bảng hiệu</t>
  </si>
  <si>
    <t xml:space="preserve">Bàn giao, hoàn thành gói thầu</t>
  </si>
  <si>
    <t xml:space="preserve">Mốc cuối</t>
  </si>
  <si>
    <t xml:space="preserve">4. MẬT ĐỘ THI CÔNG THEO THÁNG (số công việc chi tiết chạy trong tháng – chỉ báo tải công việc, không phải nhân lực)</t>
  </si>
  <si>
    <t xml:space="preserve">Tháng</t>
  </si>
  <si>
    <t xml:space="preserve">Công việc đang chạy</t>
  </si>
  <si>
    <t xml:space="preserve">Công việc khởi công trong tháng</t>
  </si>
  <si>
    <t xml:space="preserve">Công việc kết thúc trong tháng</t>
  </si>
  <si>
    <t xml:space="preserve">5. NHẬN ĐỊNH CHÍNH GỬI LÃNH ĐẠO (chi tiết xem sheet RuiRo)</t>
  </si>
  <si>
    <t xml:space="preserve">• Tiến độ tổng 270 ngày lịch (21/06/2026–18/03/2027) gồm 85 dòng WBS; hạng mục lớn nhất là nhà xưởng CM5–CM7 (kết thúc 08/01/2027) và chuỗi hạ tầng quyết định mốc cuối 18/03/2027.</t>
  </si>
  <si>
    <t xml:space="preserve">• Chuỗi hạ tầng (thoát nước → đường nội bộ → bó vỉa → hoàn thiện đường → bàn giao) không còn dự trữ và trùng Tết 2027; nhà xưởng còn ~69 ngày dự trữ, nhà văn phòng ~104 ngày (tính theo ngày tháng).</t>
  </si>
  <si>
    <t xml:space="preserve">• Cần xử lý trước: (1) lệch mốc 10 ngày giữa tiến độ và Prelim; (2) kiến trúc nhà xưởng ID 52–56 đang xếp trước móng/kết cấu; (3) tiến độ chưa có lịch nghỉ Chủ nhật/lễ/Tết/mưa.</t>
  </si>
  <si>
    <t xml:space="preserve">• HSSE: 1 an toàn viên cho 250 công nhân, không có trưởng ban HSSE và y tá – cần rà soát theo quy định hiện hành trước giai đoạn dựng thép và đào hạ tầng.</t>
  </si>
  <si>
    <t xml:space="preserve">• Chi phí Prelim 15,47 tỷ (chưa VAT), trong đó lãi vay + dự phòng ~25%; có 2 tổng khác nhau (15,47 vs 16,29 tỷ) và 2 giá trị hợp đồng (192 vs 280 tỷ) cần thống nhất.</t>
  </si>
  <si>
    <t xml:space="preserve">• Bảng khối lượng chỉ gồm Prelim; để lập biểu đồ nhân lực/vật tư/máy và kiểm tra năng suất cần bổ sung khối lượng công tác chính.</t>
  </si>
  <si>
    <t xml:space="preserve">KẾ HOẠCH THI CÔNG CHI TIẾT – GANTT (WBS 85 CÔNG VIỆC)</t>
  </si>
  <si>
    <t xml:space="preserve">Dự án: Nhà máy sản xuất các sản phẩm sau thép | Nguồn: Tổng tiến độ thi công phối hợp Rev 01 (29/06/2026) – ngày tính theo ngày lịch</t>
  </si>
  <si>
    <t xml:space="preserve">Ngày báo cáo (sửa khi cập nhật):</t>
  </si>
  <si>
    <t xml:space="preserve">Giả định nghỉ Tết Đinh Mùi 2027 (từ – đến; Mùng 1 = 06/02/2027, cần theo lịch nghỉ chính thức):</t>
  </si>
  <si>
    <t xml:space="preserve">Chú giải Gantt: xanh đậm = nhóm tổng hợp | xanh = công việc | cam = dự trữ ≤ 30 ngày so với mốc cuối | đỏ = dự trữ 0 (gần găng) | cột đỏ nhạt = tuần chứa ngày báo cáo. Dự trữ tính theo ngày tháng (mốc cuối – ngày kết thúc), không phải total float của MS Project.</t>
  </si>
  <si>
    <t xml:space="preserve">Nhóm hạng mục</t>
  </si>
  <si>
    <t xml:space="preserve">Hạng mục / công việc</t>
  </si>
  <si>
    <t xml:space="preserve">Loại</t>
  </si>
  <si>
    <t xml:space="preserve">Số ngày (MSP)</t>
  </si>
  <si>
    <t xml:space="preserve">Bắt đầu</t>
  </si>
  <si>
    <t xml:space="preserve">Kết thúc</t>
  </si>
  <si>
    <t xml:space="preserve">Số ngày (tính lại)</t>
  </si>
  <si>
    <t xml:space="preserve">Kiểm tra</t>
  </si>
  <si>
    <t xml:space="preserve">% theo KH tại ngày BC</t>
  </si>
  <si>
    <t xml:space="preserve">Giao Tết</t>
  </si>
  <si>
    <t xml:space="preserve">Dự trữ vs mốc cuối (ngày)</t>
  </si>
  <si>
    <t xml:space="preserve">06/2026</t>
  </si>
  <si>
    <t xml:space="preserve">07/2026</t>
  </si>
  <si>
    <t xml:space="preserve">08/2026</t>
  </si>
  <si>
    <t xml:space="preserve">09/2026</t>
  </si>
  <si>
    <t xml:space="preserve">10/2026</t>
  </si>
  <si>
    <t xml:space="preserve">11/2026</t>
  </si>
  <si>
    <t xml:space="preserve">12/2026</t>
  </si>
  <si>
    <t xml:space="preserve">01/2027</t>
  </si>
  <si>
    <t xml:space="preserve">02/2027</t>
  </si>
  <si>
    <t xml:space="preserve">03/2027</t>
  </si>
  <si>
    <t xml:space="preserve">Tổng hợp</t>
  </si>
  <si>
    <t xml:space="preserve">TỔNG TIẾN ĐỘ THI CÔNG - 270 NGÀY</t>
  </si>
  <si>
    <t xml:space="preserve">Ép cọc</t>
  </si>
  <si>
    <t xml:space="preserve">I. TIẾN ĐỘ BÀN GIAO CỌC ÉP</t>
  </si>
  <si>
    <t xml:space="preserve">Mốc bàn giao cọc ép là điều kiện đầu vào cho móng các nhà – cần theo dõi phối hợp (RuiRo #5).</t>
  </si>
  <si>
    <t xml:space="preserve">Ép cọc đại trà nhà Xưởng (ép từ trục 1 đến 42)</t>
  </si>
  <si>
    <t xml:space="preserve">Chi tiết</t>
  </si>
  <si>
    <t xml:space="preserve">Ép cọc đại trà nhà Văn Phòng</t>
  </si>
  <si>
    <t xml:space="preserve">Ép cọc đại trà các hạng mục phụ trợ (nhà xe, nhà đóng container)</t>
  </si>
  <si>
    <t xml:space="preserve">II. TIẾN ĐỘ XÂY DỰNG</t>
  </si>
  <si>
    <t xml:space="preserve">Chuẩn bị</t>
  </si>
  <si>
    <t xml:space="preserve">A. CÔNG TÁC CHUẨN BỊ</t>
  </si>
  <si>
    <t xml:space="preserve">Số ngày lẻ 188,88; kéo dài đến 26/12/2026 theo ID 8 (RuiRo #3).</t>
  </si>
  <si>
    <t xml:space="preserve">Văn phòng tạm</t>
  </si>
  <si>
    <t xml:space="preserve">Số ngày 24 không khớp khoảng 21/6–26/12 (188 ngày) (RuiRo #3).</t>
  </si>
  <si>
    <t xml:space="preserve">Bãi gia công</t>
  </si>
  <si>
    <t xml:space="preserve">Kết nối hệ thống điện nước tạm</t>
  </si>
  <si>
    <t xml:space="preserve">B. CÔNG TÁC THI CÔNG</t>
  </si>
  <si>
    <t xml:space="preserve">Nhà văn phòng</t>
  </si>
  <si>
    <t xml:space="preserve">1. NHÀ VĂN PHÒNG</t>
  </si>
  <si>
    <t xml:space="preserve">Công tác kết cấu</t>
  </si>
  <si>
    <t xml:space="preserve">Đào đất, thi công móng, cổ cột</t>
  </si>
  <si>
    <t xml:space="preserve">Thi công sàn trệt</t>
  </si>
  <si>
    <t xml:space="preserve">Thi công sàn tầng 2</t>
  </si>
  <si>
    <t xml:space="preserve">Thi công mái</t>
  </si>
  <si>
    <t xml:space="preserve">Kết cấu thép</t>
  </si>
  <si>
    <t xml:space="preserve">Lắp dựng cột, kèo, xà gồ, giằng</t>
  </si>
  <si>
    <t xml:space="preserve">Dựng thép khi móng VP (ID 14) chưa xong (đến 5/9) – cần phân khu (RuiRo #4).</t>
  </si>
  <si>
    <t xml:space="preserve">Công tác MEPF</t>
  </si>
  <si>
    <t xml:space="preserve">Lắp đặt hệ thống MEP</t>
  </si>
  <si>
    <t xml:space="preserve">Test hệ thống MEP</t>
  </si>
  <si>
    <t xml:space="preserve">Công tác kiến trúc</t>
  </si>
  <si>
    <t xml:space="preserve">Hoàn thiện nhà</t>
  </si>
  <si>
    <t xml:space="preserve">Vệ sinh &amp; bàn giao</t>
  </si>
  <si>
    <t xml:space="preserve">Hạ tầng</t>
  </si>
  <si>
    <t xml:space="preserve">2. CÔNG TÁC HẠ TẦNG</t>
  </si>
  <si>
    <t xml:space="preserve">Hệ thống thoát nước mưa</t>
  </si>
  <si>
    <t xml:space="preserve">Hệ thống thoát nước thải</t>
  </si>
  <si>
    <t xml:space="preserve">Đường nội bộ (hoàn thành cấp phối)</t>
  </si>
  <si>
    <t xml:space="preserve">Bó vỉa và cảnh quan</t>
  </si>
  <si>
    <t xml:space="preserve">Kết nối hệ thống hiện hữu</t>
  </si>
  <si>
    <t xml:space="preserve">Hoàn thiện đường nội bộ</t>
  </si>
  <si>
    <t xml:space="preserve">Kết thúc đúng mốc cuối 18/3, trùng Tết (RuiRo #7).</t>
  </si>
  <si>
    <t xml:space="preserve">Nhà bảo vệ &amp; hàng rào</t>
  </si>
  <si>
    <t xml:space="preserve">3. NHÀ BẢO VỆ VÀ HÀNG RÀO</t>
  </si>
  <si>
    <t xml:space="preserve">Nhà xưởng</t>
  </si>
  <si>
    <t xml:space="preserve">4. NHÀ XƯỞNG CM5-CM7, KHO THÀNH PHẨM, KHO BÁN THÀNH PHẨM</t>
  </si>
  <si>
    <t xml:space="preserve">Kết cấu móng, cổ cột, đà kiềng</t>
  </si>
  <si>
    <t xml:space="preserve">Đào đất, thi công móng</t>
  </si>
  <si>
    <t xml:space="preserve">Đào móng xưởng song song ép cọc xưởng (ID 3 đến 3/9) (RuiRo #5).</t>
  </si>
  <si>
    <t xml:space="preserve">Thi công cổ cột, đà kiềng</t>
  </si>
  <si>
    <t xml:space="preserve">Dựng thép xưởng từ 31/8, trước khi ép cọc xong (3/9) và cổ cột xong (15/9) (RuiRo #4).</t>
  </si>
  <si>
    <t xml:space="preserve">Lắp dựng tôn mái</t>
  </si>
  <si>
    <t xml:space="preserve">Lắp dựng tôn vách</t>
  </si>
  <si>
    <t xml:space="preserve">Kết cấu sàn nền</t>
  </si>
  <si>
    <t xml:space="preserve">Đầm chặt và các lớp cấu tạo nền (đá 0x4, lớp PVC)</t>
  </si>
  <si>
    <t xml:space="preserve">Đổ bê tông sàn nền</t>
  </si>
  <si>
    <t xml:space="preserve">Diện tích sàn xưởng ≈ 27.225 m² → ~302 m²/ngày (xem BienPhap).</t>
  </si>
  <si>
    <t xml:space="preserve">Trục 1-15</t>
  </si>
  <si>
    <t xml:space="preserve">Trục 15-30</t>
  </si>
  <si>
    <t xml:space="preserve">Trục 30-42</t>
  </si>
  <si>
    <t xml:space="preserve">Kiến trúc xưởng bắt đầu 21/6, trước móng (25/7) và kết cấu thép (31/8) – nghi sai ngày (RuiRo #2).</t>
  </si>
  <si>
    <t xml:space="preserve">Công tác xây tường</t>
  </si>
  <si>
    <t xml:space="preserve">Xem ID 52.</t>
  </si>
  <si>
    <t xml:space="preserve">Công tác trát, bả</t>
  </si>
  <si>
    <t xml:space="preserve">Công tác sơn</t>
  </si>
  <si>
    <t xml:space="preserve">Hoàn thiện khác</t>
  </si>
  <si>
    <t xml:space="preserve">Nhà đóng cont</t>
  </si>
  <si>
    <t xml:space="preserve">5. NHÀ ĐÓNG CONT</t>
  </si>
  <si>
    <t xml:space="preserve">Cầu ống</t>
  </si>
  <si>
    <t xml:space="preserve">6. CẦU ỐNG</t>
  </si>
  <si>
    <t xml:space="preserve">Thi công kết cấu thép</t>
  </si>
  <si>
    <t xml:space="preserve">Trạm cân</t>
  </si>
  <si>
    <t xml:space="preserve">7. TRẠM CÂN</t>
  </si>
  <si>
    <t xml:space="preserve">Cột cờ</t>
  </si>
  <si>
    <t xml:space="preserve">8. CỘT CỜ</t>
  </si>
  <si>
    <t xml:space="preserve">Cổng &amp; bảng hiệu</t>
  </si>
  <si>
    <t xml:space="preserve">9. CỔNG &amp; BẢNG HIỆU</t>
  </si>
  <si>
    <t xml:space="preserve">Cấp nước SX &amp; SH</t>
  </si>
  <si>
    <t xml:space="preserve">10. HỆ THỐNG CẤP NƯỚC SẢN XUẤT VÀ SINH HOẠT</t>
  </si>
  <si>
    <t xml:space="preserve">Kết thúc 10/2/2027, sát Tết.</t>
  </si>
  <si>
    <t xml:space="preserve">Bàn giao</t>
  </si>
  <si>
    <t xml:space="preserve">III. BÀN GIAO, HOÀN THÀNH GÓI THẦU</t>
  </si>
  <si>
    <t xml:space="preserve">Không có dự trữ so với mốc cuối; trùng Tết (RuiRo #7).</t>
  </si>
  <si>
    <t xml:space="preserve">Diện tích vệ sinh 36.365 m² / 30 ngày (xem BienPhap).</t>
  </si>
  <si>
    <t xml:space="preserve">NGUỒN LỰC: BAN CHỈ HUY – CÔNG NHẬT – THIẾT BỊ – VẬN CHUYỂN</t>
  </si>
  <si>
    <t xml:space="preserve">Nguồn: Bảng khối lượng Prelim (Pre_Manpower, Pre_Vanchuyen, Pre_Cauthap, Prelims). Không nêu lương từng vị trí; chi phí xem sheet ChiPhi.</t>
  </si>
  <si>
    <t xml:space="preserve">1. BAN CHỈ HUY CÔNG TRƯỜNG (chỉ liệt kê vị trí có số lượng ≥ 1)</t>
  </si>
  <si>
    <t xml:space="preserve">STT</t>
  </si>
  <si>
    <t xml:space="preserve">Chức danh</t>
  </si>
  <si>
    <t xml:space="preserve">Số lượng</t>
  </si>
  <si>
    <t xml:space="preserve">Thời gian (tháng)</t>
  </si>
  <si>
    <t xml:space="preserve">Nhóm</t>
  </si>
  <si>
    <t xml:space="preserve">Giám đốc dự án</t>
  </si>
  <si>
    <t xml:space="preserve">Quản lý</t>
  </si>
  <si>
    <t xml:space="preserve">Chỉ huy trưởng</t>
  </si>
  <si>
    <t xml:space="preserve">Trưởng nhóm KS giám sát xây dựng</t>
  </si>
  <si>
    <t xml:space="preserve">Xây dựng</t>
  </si>
  <si>
    <t xml:space="preserve">KS Giám sát xây dựng</t>
  </si>
  <si>
    <t xml:space="preserve">KS Giám sát hạ tầng</t>
  </si>
  <si>
    <t xml:space="preserve">KS Giám sát M&amp;E</t>
  </si>
  <si>
    <t xml:space="preserve">M&amp;E</t>
  </si>
  <si>
    <t xml:space="preserve">KS Shopdrawing + biện pháp, 2 BIM</t>
  </si>
  <si>
    <t xml:space="preserve">Kỹ thuật – shopdrawing</t>
  </si>
  <si>
    <t xml:space="preserve">KS QA/QC</t>
  </si>
  <si>
    <t xml:space="preserve">QA/QC</t>
  </si>
  <si>
    <t xml:space="preserve">KS QS</t>
  </si>
  <si>
    <t xml:space="preserve">QS</t>
  </si>
  <si>
    <t xml:space="preserve">An toàn viên</t>
  </si>
  <si>
    <t xml:space="preserve">Kế toán</t>
  </si>
  <si>
    <t xml:space="preserve">Hành chính – kế toán</t>
  </si>
  <si>
    <t xml:space="preserve">Thủ kho</t>
  </si>
  <si>
    <t xml:space="preserve">Kho</t>
  </si>
  <si>
    <t xml:space="preserve">TỔNG BAN CHỈ HUY</t>
  </si>
  <si>
    <t xml:space="preserve">Vị trí có trong bảng nhưng số lượng = 0 (không bố trí): Chủ trì thiết kế, Chỉ huy phó, Quản lý tiến độ, Trưởng nhóm &amp; KS giám sát kết cấu thép, Trưởng nhóm giám sát hạ tầng/M&amp;E, Trắc đạc, Trưởng ban HSSE, Y tá, Phiên dịch, KS LEED → xem RuiRo #8, #9.</t>
  </si>
  <si>
    <t xml:space="preserve">2. BIỂU ĐỒ NHÂN SỰ BAN CHỈ HUY THEO THÁNG (tính từ ngày bố trí theo Prelim)</t>
  </si>
  <si>
    <t xml:space="preserve">Số BCH có mặt (người)</t>
  </si>
  <si>
    <t xml:space="preserve">Ghi chú: một số vị trí (Chỉ huy trưởng, KS giám sát xây dựng, KS QA/QC, KS QS) bố trí kéo dài đến 27/4–27/5/2027, sau ngày hoàn thành 18/3/2027 để hoàn công/bàn giao.</t>
  </si>
  <si>
    <t xml:space="preserve">3. SO SÁNH MỐC THỜI GIAN GIỮA TIẾN ĐỘ VÀ BẢNG KHỐI LƯỢNG PRELIM</t>
  </si>
  <si>
    <t xml:space="preserve">Chỉ tiêu</t>
  </si>
  <si>
    <t xml:space="preserve">Tiến độ (Rev 01)</t>
  </si>
  <si>
    <t xml:space="preserve">Prelim (Rev 00)</t>
  </si>
  <si>
    <t xml:space="preserve">Lệch (ngày)</t>
  </si>
  <si>
    <t xml:space="preserve">Nhận xét</t>
  </si>
  <si>
    <t xml:space="preserve">Ngày bắt đầu</t>
  </si>
  <si>
    <t xml:space="preserve">Cả hai đều 270 ngày nhưng Prelim lệch +10 ngày: BCH/công nhật/thiết bị tính từ 01/07/2026, trong khi công tác chuẩn bị bắt đầu 21/06/2026 (RuiRo #1).</t>
  </si>
  <si>
    <t xml:space="preserve">Ngày kết thúc</t>
  </si>
  <si>
    <t xml:space="preserve">4. CÔNG NHẬT (theo Pre_Manpower)</t>
  </si>
  <si>
    <t xml:space="preserve">Công việc</t>
  </si>
  <si>
    <t xml:space="preserve">Số lượng (người)</t>
  </si>
  <si>
    <t xml:space="preserve">Công nhật tiện ích điện nước</t>
  </si>
  <si>
    <t xml:space="preserve">Công nhật dọn vệ sinh công trường</t>
  </si>
  <si>
    <t xml:space="preserve">Công nhật dọn vệ sinh bàn giao</t>
  </si>
  <si>
    <t xml:space="preserve">Gắn với ID 85</t>
  </si>
  <si>
    <t xml:space="preserve">Công nhân thi công trực tiếp cao điểm: 250 người (hệ số dự phòng PPE 1,2) – theo Pre_HSSE / TH_Chiphichuanbi_TC. Bảng Prelim KHÔNG có biểu đồ nhân lực công nhân theo tháng/tổ đội → cần bổ sung khi có bảng khối lượng chính (RuiRo #16).</t>
  </si>
  <si>
    <t xml:space="preserve">5. THIẾT BỊ THI CÔNG &amp; VẬN CHUYỂN</t>
  </si>
  <si>
    <t xml:space="preserve">Hạng mục</t>
  </si>
  <si>
    <t xml:space="preserve">ĐVT</t>
  </si>
  <si>
    <t xml:space="preserve">Thành tiền (VND)</t>
  </si>
  <si>
    <t xml:space="preserve">Thời gian</t>
  </si>
  <si>
    <t xml:space="preserve">Nguồn</t>
  </si>
  <si>
    <t xml:space="preserve">Cẩu Kato, cẩu thùng</t>
  </si>
  <si>
    <t xml:space="preserve">Lot</t>
  </si>
  <si>
    <t xml:space="preserve">Cả dự án</t>
  </si>
  <si>
    <t xml:space="preserve">Prelims #44</t>
  </si>
  <si>
    <t xml:space="preserve">Dựng thép nhiều mặt trận đồng thời (RuiRo #17)</t>
  </si>
  <si>
    <t xml:space="preserve">Thiết bị cơ giới hỗ trợ thi công</t>
  </si>
  <si>
    <t xml:space="preserve">Prelims #45A</t>
  </si>
  <si>
    <t xml:space="preserve">Cẩu tháp / vận thăng</t>
  </si>
  <si>
    <t xml:space="preserve">cái</t>
  </si>
  <si>
    <t xml:space="preserve">—</t>
  </si>
  <si>
    <t xml:space="preserve">Pre_Cauthap, Prelims #45</t>
  </si>
  <si>
    <t xml:space="preserve">Không bố trí (KL = 0)</t>
  </si>
  <si>
    <t xml:space="preserve">Xe ủi D31, xe cuốc 0,5 m³ (tháng 7/2026)</t>
  </si>
  <si>
    <t xml:space="preserve">tháng</t>
  </si>
  <si>
    <t xml:space="preserve">Pre_Manpower</t>
  </si>
  <si>
    <t xml:space="preserve">KL = 0 – cơ giới san lấp do tổ thi công hạ tầng tự bố trí? cần xác nhận</t>
  </si>
  <si>
    <t xml:space="preserve">Vận chuyển thiết bị thi công tạm: 2 chuyến đi + 2 chuyến về</t>
  </si>
  <si>
    <t xml:space="preserve">hạng mục</t>
  </si>
  <si>
    <t xml:space="preserve">01/07/2026–28/03/2027</t>
  </si>
  <si>
    <t xml:space="preserve">Pre_Vanchuyen</t>
  </si>
  <si>
    <t xml:space="preserve">Vận chuyển vật tư rời: 10 chuyến</t>
  </si>
  <si>
    <t xml:space="preserve">30/08/2026–26/02/2027</t>
  </si>
  <si>
    <t xml:space="preserve">Vận chuyển giàn giáo, ván khuôn: 2 chuyến đi + 2 chuyến về</t>
  </si>
  <si>
    <t xml:space="preserve">BIỆN PHÁP TỔ CHỨC THI CÔNG: CÔNG TRÌNH TẠM – ĐIỆN NƯỚC TẠM – CHỈ SỐ KHỐI LƯỢNG</t>
  </si>
  <si>
    <t xml:space="preserve">Nguồn: Prelim (Pre_Congtrinhtam, Pre_Diennuoctam, GIAN GIAO, VS BAN GIAO). Chỉ liệt kê hạng mục có khối lượng &gt; 0.</t>
  </si>
  <si>
    <t xml:space="preserve">1. CÔNG TRÌNH TẠM &amp; TIỆN ÍCH CÔNG TRƯỜNG</t>
  </si>
  <si>
    <t xml:space="preserve">Khối lượng</t>
  </si>
  <si>
    <t xml:space="preserve">Quy cách / diễn giải</t>
  </si>
  <si>
    <t xml:space="preserve">Thời gian theo tiến độ</t>
  </si>
  <si>
    <t xml:space="preserve">Văn phòng nhà thầu: container 40ft</t>
  </si>
  <si>
    <t xml:space="preserve">Thuê, vận chuyển đi/về, sơn màu AZB; mái che KCT 2 × (12×4 m) = 96 m²; nội thất: 15 bàn + 15 ghế làm việc, bàn họp 1 + 10 ghế, 2 tủ hồ sơ, TV 55", máy chấm công</t>
  </si>
  <si>
    <t xml:space="preserve">Pre_Congtrinhtam (ID 8)</t>
  </si>
  <si>
    <t xml:space="preserve">Nhà vệ sinh BCH: container 10ft + hầm tự hoại</t>
  </si>
  <si>
    <t xml:space="preserve">Thuê, vận chuyển, sơn màu AZB</t>
  </si>
  <si>
    <t xml:space="preserve">Suốt dự án</t>
  </si>
  <si>
    <t xml:space="preserve">Pre_Congtrinhtam</t>
  </si>
  <si>
    <t xml:space="preserve">Nhà vệ sinh công nhân: container 10ft + hầm tự hoại</t>
  </si>
  <si>
    <t xml:space="preserve">2 container cho ~250 công nhân → kiểm tra theo QCVN 18:2014/BXD (RuiRo #12)</t>
  </si>
  <si>
    <t xml:space="preserve">Nhà kho kín kết cấu thép</t>
  </si>
  <si>
    <t xml:space="preserve">m²</t>
  </si>
  <si>
    <t xml:space="preserve">10 × 6 m; nền đá 0x4 + bê tông M150 dày 5 cm (3 m³); lắp đặt &amp; tháo dỡ 60 m²</t>
  </si>
  <si>
    <t xml:space="preserve">Bãi gia công thép (kết cấu thép)</t>
  </si>
  <si>
    <t xml:space="preserve">20 × 8 m; nền đá 4x6 (8 m³) + đá 0x4 (16 m³); lắp đặt &amp; tháo dỡ 160 m²</t>
  </si>
  <si>
    <t xml:space="preserve">Pre_Congtrinhtam (ID 9)</t>
  </si>
  <si>
    <t xml:space="preserve">Chòi bảo vệ (khung thép)</t>
  </si>
  <si>
    <t xml:space="preserve">Lắp đặt, sơn, tháo dỡ</t>
  </si>
  <si>
    <t xml:space="preserve">Bảng thông tin dự án, cột cờ 3 cột, bồn hoa</t>
  </si>
  <si>
    <t xml:space="preserve">lot</t>
  </si>
  <si>
    <t xml:space="preserve">Bảng thông tin tại vị trí 1 bộ; lắp đặt &amp; tháo dỡ bảng hiệu cổng 1 bộ</t>
  </si>
  <si>
    <t xml:space="preserve">Đầu dự án</t>
  </si>
  <si>
    <t xml:space="preserve">Hệ thống chiếu sáng công trình</t>
  </si>
  <si>
    <t xml:space="preserve">bộ</t>
  </si>
  <si>
    <t xml:space="preserve">50 đèn pha LED 150W; cáp 3C-2.5 mm² 750 m; cáp 4×4 mm² 200 m; 140 cây ống kẽm D90×6 m làm trụ</t>
  </si>
  <si>
    <t xml:space="preserve">Pre_Diennuoctam (ID 10)</t>
  </si>
  <si>
    <t xml:space="preserve">Chiếu sáng văn phòng</t>
  </si>
  <si>
    <t xml:space="preserve">20 đèn LED 1×1 m 2 bóng 18W; 40 mặt công tắc, 40 mặt ổ cắm</t>
  </si>
  <si>
    <t xml:space="preserve">Bồn chứa nước 2 m³</t>
  </si>
  <si>
    <t xml:space="preserve">Tổng 14 m³; ống nhựa mềm D27 1.000 m; 4 máy xịt áp lực xách tay + 4 máy 3 pha</t>
  </si>
  <si>
    <t xml:space="preserve">Chống sét tạm</t>
  </si>
  <si>
    <t xml:space="preserve">hệ</t>
  </si>
  <si>
    <t xml:space="preserve">Mỗi hệ: kim thu sét + giếng khoan sâu 20 m + cọc tiếp địa; cáp đồng trần 70 mm² 300 m</t>
  </si>
  <si>
    <t xml:space="preserve">Pre_Diennuoctam</t>
  </si>
  <si>
    <t xml:space="preserve">Camera an ninh công trường</t>
  </si>
  <si>
    <t xml:space="preserve">1 camera cố định + 4 camera PTZ 32×, NVR 16 kênh, ổ cứng 4 TB, cáp quang 1.200 m</t>
  </si>
  <si>
    <t xml:space="preserve">Điện, nước, điện thoại – internet hàng tháng</t>
  </si>
  <si>
    <t xml:space="preserve">Điện, nước tiêu thụ và internet tính theo ~9,03 tháng</t>
  </si>
  <si>
    <t xml:space="preserve">Khối lượng = 0 trong bảng Prelim (cần xác nhận bên chịu trách nhiệm): trạm biến áp 250 kVA, dây ABC, tủ điện tạm DB-T1, đấu nối điện/nước tạm, máy phát điện, đồng hồ nước D60, văn phòng CĐT &amp; tư vấn, hàng rào tạm &amp; cổng tạm (ghi chú: thầu AB chịu trách nhiệm), cầu rửa xe, nhà huấn luyện an toàn, bãi tập kết ngoài trời, nhà chứa rác/mẫu, chòi hút thuốc (RuiRo #10, #11).</t>
  </si>
  <si>
    <t xml:space="preserve">2. CHỈ SỐ KHỐI LƯỢNG &amp; NĂNG SUẤT YÊU CẦU (tính từ số liệu trong file)</t>
  </si>
  <si>
    <t xml:space="preserve">Chỉ số</t>
  </si>
  <si>
    <t xml:space="preserve">Giá trị</t>
  </si>
  <si>
    <t xml:space="preserve">Cách tính / giả định</t>
  </si>
  <si>
    <t xml:space="preserve">Diện tích sàn xưởng (giả định = diện tích vệ sinh bàn giao)</t>
  </si>
  <si>
    <t xml:space="preserve">Giả định sàn nền BT xưởng = 27.225 m²; cần thay bằng KL bản vẽ</t>
  </si>
  <si>
    <t xml:space="preserve">VS BAN GIAO</t>
  </si>
  <si>
    <t xml:space="preserve">Năng suất đổ BT sàn nền xưởng yêu cầu</t>
  </si>
  <si>
    <t xml:space="preserve">m²/ngày</t>
  </si>
  <si>
    <t xml:space="preserve">Diện tích ÷ số ngày ID 45 (90 ngày lịch)</t>
  </si>
  <si>
    <t xml:space="preserve">TienDo ID 45</t>
  </si>
  <si>
    <t xml:space="preserve">Diện tích mỗi phân khu (3 phân khu trục 1-15, 15-30, 30-42)</t>
  </si>
  <si>
    <t xml:space="preserve">Mỗi phân khu 30 ngày (ID 46–48); giả định chia đều</t>
  </si>
  <si>
    <t xml:space="preserve">TienDo ID 46–48</t>
  </si>
  <si>
    <t xml:space="preserve">Diện tích giàn giáo bao che ngoài nhà</t>
  </si>
  <si>
    <t xml:space="preserve">70 m × 12,9 m + 110 m × 8,6 m (phụ trợ xưởng) + 127 m × 9,7 m (văn phòng 2 tầng)</t>
  </si>
  <si>
    <t xml:space="preserve">GIAN GIAO</t>
  </si>
  <si>
    <t xml:space="preserve">Chi phí giàn giáo bao che / m²</t>
  </si>
  <si>
    <t xml:space="preserve">VND/m²</t>
  </si>
  <si>
    <t xml:space="preserve">Prelims #50 ÷ diện tích (tham khảo)</t>
  </si>
  <si>
    <t xml:space="preserve">Prelims, GIAN GIAO</t>
  </si>
  <si>
    <t xml:space="preserve">Diện tích vệ sinh bàn giao</t>
  </si>
  <si>
    <t xml:space="preserve">Xưởng 27.225 + VP 680×3 tầng + nhà xe 700×3 tầng + còn lại 5.000</t>
  </si>
  <si>
    <t xml:space="preserve">Năng suất vệ sinh bàn giao yêu cầu</t>
  </si>
  <si>
    <t xml:space="preserve">Diện tích ÷ 30 ngày (ID 85) – kèm 4 công nhật (26/02–28/03/2027)</t>
  </si>
  <si>
    <t xml:space="preserve">TienDo ID 85</t>
  </si>
  <si>
    <t xml:space="preserve">Chi phí vệ sinh bàn giao / m²</t>
  </si>
  <si>
    <t xml:space="preserve">Prelims #31 ÷ diện tích</t>
  </si>
  <si>
    <t xml:space="preserve">Prelims</t>
  </si>
  <si>
    <t xml:space="preserve">Diện tích vệ sinh nếu VP 2 tầng (theo tiến độ) và nhà xe 1 tầng</t>
  </si>
  <si>
    <t xml:space="preserve">Trừ 1 tầng VP (680) và 2 tầng nhà xe (1.400) – giả định để đối chiếu (RuiRo #15)</t>
  </si>
  <si>
    <t xml:space="preserve">KẾ HOẠCH AN TOÀN – SỨC KHỎE – MÔI TRƯỜNG (HSSE)</t>
  </si>
  <si>
    <t xml:space="preserve">Nguồn: Pre_HSSE (Prelim) đối chiếu với tiến độ. Phần 4 là đề xuất chuyên môn để rà soát, không có trong file gốc.</t>
  </si>
  <si>
    <t xml:space="preserve">1. QUY MÔ &amp; NĂNG LỰC HSSE</t>
  </si>
  <si>
    <t xml:space="preserve">Đơn vị</t>
  </si>
  <si>
    <t xml:space="preserve">Ban chỉ huy công trường</t>
  </si>
  <si>
    <t xml:space="preserve">người</t>
  </si>
  <si>
    <t xml:space="preserve">Từ sheet NguonLuc</t>
  </si>
  <si>
    <t xml:space="preserve">Công nhân cao điểm</t>
  </si>
  <si>
    <t xml:space="preserve">Pre_HSSE / TH_Chiphichuanbi_TC</t>
  </si>
  <si>
    <t xml:space="preserve">Hệ số dự phòng PPE</t>
  </si>
  <si>
    <t xml:space="preserve">lần</t>
  </si>
  <si>
    <t xml:space="preserve">Pre_HSSE</t>
  </si>
  <si>
    <t xml:space="preserve">An toàn viên bố trí</t>
  </si>
  <si>
    <t xml:space="preserve">Pre_Manpower (KS an toàn viên, 9 tháng); Trưởng ban HSSE = 0; Y tá = 0</t>
  </si>
  <si>
    <t xml:space="preserve">Số công nhân / 1 an toàn viên</t>
  </si>
  <si>
    <t xml:space="preserve">người/người</t>
  </si>
  <si>
    <t xml:space="preserve">Nhiều mặt trận cùng lúc → rà soát (RuiRo #9)</t>
  </si>
  <si>
    <t xml:space="preserve">2. HỒ SƠ PHÁP LÝ, BẢO HIỂM &amp; HUẤN LUYỆN (thành tiền = SL × đơn giá)</t>
  </si>
  <si>
    <t xml:space="preserve">Nội dung</t>
  </si>
  <si>
    <t xml:space="preserve">Đơn giá (VND)</t>
  </si>
  <si>
    <t xml:space="preserve">Bảo hiểm TNLĐ kỹ sư</t>
  </si>
  <si>
    <t xml:space="preserve">Người</t>
  </si>
  <si>
    <t xml:space="preserve">Pre_HSSE dòng 15</t>
  </si>
  <si>
    <t xml:space="preserve">Khám sức khỏe kỹ sư</t>
  </si>
  <si>
    <t xml:space="preserve">Pre_HSSE dòng 16</t>
  </si>
  <si>
    <t xml:space="preserve">Huấn luyện an toàn các nhóm (Kỹ sư)</t>
  </si>
  <si>
    <t xml:space="preserve">Pre_HSSE dòng 17</t>
  </si>
  <si>
    <t xml:space="preserve">Bảo hiểm TNLĐ Công nhân (12 tháng SL tối thiểu cần để bổ sung hồ sơ PL)</t>
  </si>
  <si>
    <t xml:space="preserve">Pre_HSSE dòng 18</t>
  </si>
  <si>
    <t xml:space="preserve">Khám sức khỏe công nhân (06 tháng 1 lần SL tối thiểu cần để bổ sung hồ sơ PL)</t>
  </si>
  <si>
    <t xml:space="preserve">Pre_HSSE dòng 19</t>
  </si>
  <si>
    <t xml:space="preserve">Thẻ an toàn NĐ44 công nhân</t>
  </si>
  <si>
    <t xml:space="preserve">Pre_HSSE dòng 20</t>
  </si>
  <si>
    <t xml:space="preserve">Chứng chỉ nghề</t>
  </si>
  <si>
    <t xml:space="preserve">Pre_HSSE dòng 21</t>
  </si>
  <si>
    <t xml:space="preserve">Chứng chỉ Sơ cấp cứu</t>
  </si>
  <si>
    <t xml:space="preserve">Pre_HSSE dòng 22</t>
  </si>
  <si>
    <t xml:space="preserve">Chứng chỉ PCCC BCH</t>
  </si>
  <si>
    <t xml:space="preserve">Pre_HSSE dòng 23</t>
  </si>
  <si>
    <t xml:space="preserve">Cộng nhóm 2</t>
  </si>
  <si>
    <t xml:space="preserve">3. TRANG THIẾT BỊ HSSE CHÍNH (không phải toàn bộ danh mục; SL đã nhân hệ số dự phòng)</t>
  </si>
  <si>
    <t xml:space="preserve">Tổng KL</t>
  </si>
  <si>
    <t xml:space="preserve">Nón công nhân</t>
  </si>
  <si>
    <t xml:space="preserve">Cái</t>
  </si>
  <si>
    <t xml:space="preserve">Pre_HSSE dòng 37</t>
  </si>
  <si>
    <t xml:space="preserve">Áo Phản quang công Nhân</t>
  </si>
  <si>
    <t xml:space="preserve">Pre_HSSE dòng 44</t>
  </si>
  <si>
    <t xml:space="preserve">Áo mưa công nhân</t>
  </si>
  <si>
    <t xml:space="preserve">Pre_HSSE dòng 46</t>
  </si>
  <si>
    <t xml:space="preserve">Giày công nhân</t>
  </si>
  <si>
    <t xml:space="preserve">Đôi</t>
  </si>
  <si>
    <t xml:space="preserve">Pre_HSSE dòng 51</t>
  </si>
  <si>
    <t xml:space="preserve">Ủng công nhân</t>
  </si>
  <si>
    <t xml:space="preserve">Pre_HSSE dòng 54</t>
  </si>
  <si>
    <t xml:space="preserve">Mặt Nạ Hàn</t>
  </si>
  <si>
    <t xml:space="preserve">Pre_HSSE dòng 57</t>
  </si>
  <si>
    <t xml:space="preserve">Dây an toàn toàn thân ( 02 móc)</t>
  </si>
  <si>
    <t xml:space="preserve">Sợi</t>
  </si>
  <si>
    <t xml:space="preserve">Pre_HSSE dòng 86</t>
  </si>
  <si>
    <t xml:space="preserve">Dây an toàn toàn thân ( 01móc)</t>
  </si>
  <si>
    <t xml:space="preserve">Pre_HSSE dòng 87</t>
  </si>
  <si>
    <t xml:space="preserve">Dây cứu sinh màu cam ( cuộn 100m)</t>
  </si>
  <si>
    <t xml:space="preserve">cuộn</t>
  </si>
  <si>
    <t xml:space="preserve">Pre_HSSE dòng 88</t>
  </si>
  <si>
    <t xml:space="preserve">Bình Chữa cháy CO2 3kg</t>
  </si>
  <si>
    <t xml:space="preserve">Pre_HSSE dòng 74</t>
  </si>
  <si>
    <t xml:space="preserve">Bình bột 4kg</t>
  </si>
  <si>
    <t xml:space="preserve">Pre_HSSE dòng 75</t>
  </si>
  <si>
    <t xml:space="preserve">Bình Bột 8kg</t>
  </si>
  <si>
    <t xml:space="preserve">Pre_HSSE dòng 76</t>
  </si>
  <si>
    <t xml:space="preserve">Bình Bột 35kg</t>
  </si>
  <si>
    <t xml:space="preserve">Pre_HSSE dòng 77</t>
  </si>
  <si>
    <t xml:space="preserve">Kệ đặt bình chữa cháy</t>
  </si>
  <si>
    <t xml:space="preserve">Pre_HSSE dòng 78</t>
  </si>
  <si>
    <t xml:space="preserve">Tủ thuốc sơ cấp cứu</t>
  </si>
  <si>
    <t xml:space="preserve">Pre_HSSE dòng 80</t>
  </si>
  <si>
    <t xml:space="preserve">Túi sơ cấp cứu loại C</t>
  </si>
  <si>
    <t xml:space="preserve">Pre_HSSE dòng 81</t>
  </si>
  <si>
    <t xml:space="preserve">Cáng cứu thương</t>
  </si>
  <si>
    <t xml:space="preserve">Pre_HSSE dòng 83</t>
  </si>
  <si>
    <t xml:space="preserve">Ghế sinh hoạt an toàn</t>
  </si>
  <si>
    <t xml:space="preserve">Pre_HSSE dòng 66</t>
  </si>
  <si>
    <t xml:space="preserve">Cọc tiêu ( phân luồng cổng vào) nhựa cứng</t>
  </si>
  <si>
    <t xml:space="preserve">Pre_HSSE dòng 71</t>
  </si>
  <si>
    <t xml:space="preserve">Thùng rác 240L</t>
  </si>
  <si>
    <t xml:space="preserve">Pre_HSSE dòng 91</t>
  </si>
  <si>
    <t xml:space="preserve">Cờ cảnh báo</t>
  </si>
  <si>
    <t xml:space="preserve">Cuộn</t>
  </si>
  <si>
    <t xml:space="preserve">Pre_HSSE dòng 93</t>
  </si>
  <si>
    <t xml:space="preserve">Biển báo Hố sâu nguy hiểm</t>
  </si>
  <si>
    <t xml:space="preserve">Pre_HSSE dòng 143</t>
  </si>
  <si>
    <t xml:space="preserve">Biển báo Cấm hút thuốc</t>
  </si>
  <si>
    <t xml:space="preserve">Pre_HSSE dòng 147</t>
  </si>
  <si>
    <t xml:space="preserve">Bảng Exit</t>
  </si>
  <si>
    <t xml:space="preserve">Pre_HSSE dòng 153</t>
  </si>
  <si>
    <t xml:space="preserve">4. RỦI RO AN TOÀN THEO GIAI ĐOẠN THI CÔNG (ĐỀ XUẤT – dùng để rà soát)</t>
  </si>
  <si>
    <t xml:space="preserve">Giai đoạn (ID tiến độ)</t>
  </si>
  <si>
    <t xml:space="preserve">Từ</t>
  </si>
  <si>
    <t xml:space="preserve">Đến</t>
  </si>
  <si>
    <t xml:space="preserve">Rủi ro chính</t>
  </si>
  <si>
    <t xml:space="preserve">Biện pháp kiểm soát chủ yếu</t>
  </si>
  <si>
    <t xml:space="preserve">Nguồn lực HSSE trong Prelim</t>
  </si>
  <si>
    <t xml:space="preserve">Ép cọc đại trà (ID 3–5)</t>
  </si>
  <si>
    <t xml:space="preserve">Máy ép, cẩu, lật đổ thiết bị; va chạm xe máy với người; điện thi công</t>
  </si>
  <si>
    <t xml:space="preserve">Phân luồng, rào chắn khu vực ép; kiểm định thiết bị; người điều phối tín hiệu; nền ổn định cho máy ép</t>
  </si>
  <si>
    <t xml:space="preserve">Cọc tiêu 50; cờ cảnh báo 150 cuộn</t>
  </si>
  <si>
    <t xml:space="preserve">Đào đất, thi công móng (ID 14, 37, 60, 78)</t>
  </si>
  <si>
    <t xml:space="preserve">Sạt lở, hố sâu, ngập nước mùa mưa; máy đào – người</t>
  </si>
  <si>
    <t xml:space="preserve">Taluy/chống vách; rào chắn &amp; biển hố sâu; bơm nước; cấm người trong bán kính làm việc của máy</t>
  </si>
  <si>
    <t xml:space="preserve">Biển báo hố sâu 4 cái</t>
  </si>
  <si>
    <t xml:space="preserve">Dựng kết cấu thép (ID 19, 40–42, 63–65, 79)</t>
  </si>
  <si>
    <t xml:space="preserve">Làm việc trên cao, vật rơi, cẩu lắp, hàn cắt cháy nổ</t>
  </si>
  <si>
    <t xml:space="preserve">Giấy phép làm việc trên cao &amp; nóng; dây an toàn + dây cứu sinh; lưới, sàn thao tác; quy trình cẩu; chống cháy</t>
  </si>
  <si>
    <t xml:space="preserve">Dây an toàn 24 sợi; dây cứu sinh 12 cuộn; mặt nạ hàn 60; bình chữa cháy ~154</t>
  </si>
  <si>
    <t xml:space="preserve">Đổ bê tông sàn nền xưởng (ID 45–48)</t>
  </si>
  <si>
    <t xml:space="preserve">Xe bơm, xe mixer ra vào; máy xoa nền; điện tạm</t>
  </si>
  <si>
    <t xml:space="preserve">Quy hoạch tuyến xe, người điều phối; tủ điện có ELCB; che chắn khu vực đổ theo phân khu</t>
  </si>
  <si>
    <t xml:space="preserve">Cọc tiêu, biển hạn chế tốc độ 5 km/h</t>
  </si>
  <si>
    <t xml:space="preserve">Lắp MEP &amp; test (ID 21–22, 50–51, 70–71)</t>
  </si>
  <si>
    <t xml:space="preserve">Điện giật khi test, cháy nổ, làm việc trên cao</t>
  </si>
  <si>
    <t xml:space="preserve">LOTO, giấy phép test, người giám sát; kiểm tra cách điện</t>
  </si>
  <si>
    <t xml:space="preserve">Máy đo điện 1; bình chữa cháy</t>
  </si>
  <si>
    <t xml:space="preserve">Thoát nước, cấp nước hạ tầng (ID 27–28, 83)</t>
  </si>
  <si>
    <t xml:space="preserve">Đào rãnh sâu, sạt lở, máy đào – người, điện nước tạm</t>
  </si>
  <si>
    <t xml:space="preserve">Chống vách; rào chắn; biển báo; giám sát người đứng gần máy</t>
  </si>
  <si>
    <t xml:space="preserve">Biển báo hố sâu; cờ cảnh báo</t>
  </si>
  <si>
    <t xml:space="preserve">Hạ tầng đường, cảnh quan, bàn giao (ID 29–32, 84–85)</t>
  </si>
  <si>
    <t xml:space="preserve">Xe máy san ủ lu, giao thông nội bộ, bụi, làm việc dịp Tết</t>
  </si>
  <si>
    <t xml:space="preserve">Nội quy giao thông; phân luồng; tưới nước chống bụi; kế hoạch trực/nghỉ Tết</t>
  </si>
  <si>
    <t xml:space="preserve">Biển hạn chế tốc độ; thùng rác 20</t>
  </si>
  <si>
    <t xml:space="preserve">CHI PHÍ PHỤC VỤ THI CÔNG (PRELIM) – TỔNG HỢP &amp; ĐỐI SOÁT</t>
  </si>
  <si>
    <t xml:space="preserve">Nguồn: Bảng khối lượng Prelim (sheet Prelims, Rev 00) – chưa bao gồm VAT. Cột Thành tiền lấy nguyên số liệu trong file; nhóm và tổng là công thức.</t>
  </si>
  <si>
    <t xml:space="preserve">Nội dung công việc</t>
  </si>
  <si>
    <t xml:space="preserve">KL</t>
  </si>
  <si>
    <t xml:space="preserve">% tổng</t>
  </si>
  <si>
    <t xml:space="preserve">Gắn với tiến độ / ghi chú</t>
  </si>
  <si>
    <t xml:space="preserve">TỔNG CỘNG (chưa VAT)</t>
  </si>
  <si>
    <t xml:space="preserve">I</t>
  </si>
  <si>
    <t xml:space="preserve">CÁC ĐIỀU KIỆN HỢP ĐỒNG</t>
  </si>
  <si>
    <t xml:space="preserve">Đầu hợp đồng; bảo lãnh theo mốc hợp đồng</t>
  </si>
  <si>
    <t xml:space="preserve">1</t>
  </si>
  <si>
    <t xml:space="preserve">Bảo lãnh dự thầu</t>
  </si>
  <si>
    <t xml:space="preserve">2</t>
  </si>
  <si>
    <t xml:space="preserve">Bảo lãnh tạm ứng</t>
  </si>
  <si>
    <t xml:space="preserve">3</t>
  </si>
  <si>
    <t xml:space="preserve">Bảo lãnh thực hiện hợp đồng</t>
  </si>
  <si>
    <t xml:space="preserve">4</t>
  </si>
  <si>
    <t xml:space="preserve">Bảo lãnh tiền giữ lại</t>
  </si>
  <si>
    <t xml:space="preserve">II</t>
  </si>
  <si>
    <t xml:space="preserve">CHI PHÍ BẢO HIỂM</t>
  </si>
  <si>
    <t xml:space="preserve">Đầu dự án (trước 21/06–01/07/2026)</t>
  </si>
  <si>
    <t xml:space="preserve">5</t>
  </si>
  <si>
    <t xml:space="preserve">Bảo hiểm vật tư, máy móc thiết bị thi công</t>
  </si>
  <si>
    <t xml:space="preserve">6</t>
  </si>
  <si>
    <t xml:space="preserve">Bảo hiểm tai nạn đối với người lao động</t>
  </si>
  <si>
    <t xml:space="preserve">7</t>
  </si>
  <si>
    <t xml:space="preserve">Bảo hiểm cho rủi ro cho công trình &amp; Bảo hiểm trách nhiệm dân sự đối với người thứ 3</t>
  </si>
  <si>
    <t xml:space="preserve">8</t>
  </si>
  <si>
    <t xml:space="preserve">Bảo hiểm cho cán bộ chủ đầu tư</t>
  </si>
  <si>
    <t xml:space="preserve">Không bao gồm</t>
  </si>
  <si>
    <t xml:space="preserve">III</t>
  </si>
  <si>
    <t xml:space="preserve">TIỆN ÍCH CỦA NHÀ THẦU, BAN QUẢN LÝ</t>
  </si>
  <si>
    <t xml:space="preserve">ID 8–10 (21/06–06/07/2026) → tháo dỡ cuối dự án</t>
  </si>
  <si>
    <t xml:space="preserve">9</t>
  </si>
  <si>
    <t xml:space="preserve">Văn phòng, phòng họp của CĐT, tư vấn</t>
  </si>
  <si>
    <t xml:space="preserve">10</t>
  </si>
  <si>
    <t xml:space="preserve">Tiện ích văn phòng CĐT, Tư vấn</t>
  </si>
  <si>
    <t xml:space="preserve">11</t>
  </si>
  <si>
    <t xml:space="preserve">Văn phòng, phòng họp của nhà thầu</t>
  </si>
  <si>
    <t xml:space="preserve">12</t>
  </si>
  <si>
    <t xml:space="preserve">Tiện ích của nhà thầu</t>
  </si>
  <si>
    <t xml:space="preserve">13</t>
  </si>
  <si>
    <t xml:space="preserve">Cầu rửa xe</t>
  </si>
  <si>
    <t xml:space="preserve">14</t>
  </si>
  <si>
    <t xml:space="preserve">Kho vật liệu</t>
  </si>
  <si>
    <t xml:space="preserve">15</t>
  </si>
  <si>
    <t xml:space="preserve">Khu vực tập kết (Nhà để xe, khu vực huấn luyện an toàn, kv hút thuốc, bãi gia công)</t>
  </si>
  <si>
    <t xml:space="preserve">16</t>
  </si>
  <si>
    <t xml:space="preserve">Hàng rào tạm bằng tole</t>
  </si>
  <si>
    <t xml:space="preserve">17</t>
  </si>
  <si>
    <t xml:space="preserve">Cổng tạm</t>
  </si>
  <si>
    <t xml:space="preserve">18</t>
  </si>
  <si>
    <t xml:space="preserve">Đường tạm</t>
  </si>
  <si>
    <t xml:space="preserve">gói thầu liên doanh nên chỉ tính đường tạm cho AZB</t>
  </si>
  <si>
    <t xml:space="preserve">19</t>
  </si>
  <si>
    <t xml:space="preserve">Bảng hiệu công trình</t>
  </si>
  <si>
    <t xml:space="preserve">20</t>
  </si>
  <si>
    <t xml:space="preserve">Vật tư phụ phục vụ công tác tạm</t>
  </si>
  <si>
    <t xml:space="preserve">21</t>
  </si>
  <si>
    <t xml:space="preserve">Chi phí vận chuyển thiết bị thi công công tác tạm</t>
  </si>
  <si>
    <t xml:space="preserve">IV</t>
  </si>
  <si>
    <t xml:space="preserve">BẢO VỆ AN NINH, AN TOÀN TRÊN CÔNG TRƯỜNG</t>
  </si>
  <si>
    <t xml:space="preserve">Suốt dự án (270 ngày)</t>
  </si>
  <si>
    <t xml:space="preserve">22</t>
  </si>
  <si>
    <t xml:space="preserve">Chòi bảo vệ</t>
  </si>
  <si>
    <t xml:space="preserve">23</t>
  </si>
  <si>
    <t xml:space="preserve">Chi phí nhân viên bảo vệ cổng (24</t>
  </si>
  <si>
    <t xml:space="preserve">24</t>
  </si>
  <si>
    <t xml:space="preserve">Y tế và sơ cấp cứu</t>
  </si>
  <si>
    <t xml:space="preserve">25</t>
  </si>
  <si>
    <t xml:space="preserve">Thiết bị bảo hộ an toàn</t>
  </si>
  <si>
    <t xml:space="preserve">26</t>
  </si>
  <si>
    <t xml:space="preserve">Biển báo chỉ dẫn an toàn</t>
  </si>
  <si>
    <t xml:space="preserve">V</t>
  </si>
  <si>
    <t xml:space="preserve">VỆ SINH MÔI TRƯỜNG</t>
  </si>
  <si>
    <t xml:space="preserve">Suốt dự án; vệ sinh bàn giao theo ID 85 (16/02–18/03/2027)</t>
  </si>
  <si>
    <t xml:space="preserve">27</t>
  </si>
  <si>
    <t xml:space="preserve">Chi phí công nhật vệ sinh công trường</t>
  </si>
  <si>
    <t xml:space="preserve">28</t>
  </si>
  <si>
    <t xml:space="preserve">Nhà vệ sinh tạm trên công trường</t>
  </si>
  <si>
    <t xml:space="preserve">29</t>
  </si>
  <si>
    <t xml:space="preserve">Nhà vệ sinh tạm Công nhân trên công trường</t>
  </si>
  <si>
    <t xml:space="preserve">30</t>
  </si>
  <si>
    <t xml:space="preserve">Chi phí vận chuyển rác, xà bần ra khỏi công trường</t>
  </si>
  <si>
    <t xml:space="preserve">31</t>
  </si>
  <si>
    <t xml:space="preserve">Chi phí vệ sinh bàn giao công trường</t>
  </si>
  <si>
    <t xml:space="preserve">VI</t>
  </si>
  <si>
    <t xml:space="preserve">HỆ THỐNG ĐIỆN &amp; NƯỚC PHỤC VỤ CÔNG TRƯỜNG</t>
  </si>
  <si>
    <t xml:space="preserve">ID 10 (điện nước tạm 21/06–06/07/2026) + hàng tháng</t>
  </si>
  <si>
    <t xml:space="preserve">32</t>
  </si>
  <si>
    <t xml:space="preserve">Hệ thống điện tạm phục vụ thi công</t>
  </si>
  <si>
    <t xml:space="preserve">33</t>
  </si>
  <si>
    <t xml:space="preserve">Hệ thống nước tạm phục vụ thi công</t>
  </si>
  <si>
    <t xml:space="preserve">34</t>
  </si>
  <si>
    <t xml:space="preserve">Chi phí điện tiêu thụ hàng tháng</t>
  </si>
  <si>
    <t xml:space="preserve">35</t>
  </si>
  <si>
    <t xml:space="preserve">Chi phí nước tiêu thụ hàng tháng</t>
  </si>
  <si>
    <t xml:space="preserve">36</t>
  </si>
  <si>
    <t xml:space="preserve">Hệ thống điện thoại- Internet</t>
  </si>
  <si>
    <t xml:space="preserve">37</t>
  </si>
  <si>
    <t xml:space="preserve">Hệ thống chống sét</t>
  </si>
  <si>
    <t xml:space="preserve">38</t>
  </si>
  <si>
    <t xml:space="preserve">Chi phí Hạ trạm điện</t>
  </si>
  <si>
    <t xml:space="preserve">39</t>
  </si>
  <si>
    <t xml:space="preserve">Chi phí biện pháp thi công mương thoát nước cho công trình</t>
  </si>
  <si>
    <t xml:space="preserve">VII</t>
  </si>
  <si>
    <t xml:space="preserve">HỒ SƠ CHẤT LƯỢNG</t>
  </si>
  <si>
    <t xml:space="preserve">Suốt dự án; hoàn công cuối dự án</t>
  </si>
  <si>
    <t xml:space="preserve">40</t>
  </si>
  <si>
    <t xml:space="preserve">Bản vẽ hoàn công</t>
  </si>
  <si>
    <t xml:space="preserve">41</t>
  </si>
  <si>
    <t xml:space="preserve">Thí nghiệm vật liệu</t>
  </si>
  <si>
    <t xml:space="preserve">VIII</t>
  </si>
  <si>
    <t xml:space="preserve">CÔNG TÁC KHÁC: TRẮC ĐẠC, ĐẤU NỐI,…</t>
  </si>
  <si>
    <t xml:space="preserve">Đầu dự án / suốt dự án</t>
  </si>
  <si>
    <t xml:space="preserve">42</t>
  </si>
  <si>
    <t xml:space="preserve">Trắc đạc công trình</t>
  </si>
  <si>
    <t xml:space="preserve">43</t>
  </si>
  <si>
    <t xml:space="preserve">Camera an ninh</t>
  </si>
  <si>
    <t xml:space="preserve">IX</t>
  </si>
  <si>
    <t xml:space="preserve">THIẾT BỊ THI CÔNG</t>
  </si>
  <si>
    <t xml:space="preserve">Dựng thép: ID 19, 40–42, 63–65, 79 (16/08–29/12/2026)</t>
  </si>
  <si>
    <t xml:space="preserve">44</t>
  </si>
  <si>
    <t xml:space="preserve">Cẩu Kato, Cẩu thùng</t>
  </si>
  <si>
    <t xml:space="preserve">45</t>
  </si>
  <si>
    <t xml:space="preserve">Vận thăng</t>
  </si>
  <si>
    <t xml:space="preserve">45A</t>
  </si>
  <si>
    <t xml:space="preserve">X</t>
  </si>
  <si>
    <t xml:space="preserve">CHI PHÍ QUẢN LÝ BAN CHỈ HUY</t>
  </si>
  <si>
    <t xml:space="preserve">BCH 01/07/2026–28/03/2027 (một số vị trí đến 05/2027)</t>
  </si>
  <si>
    <t xml:space="preserve">46</t>
  </si>
  <si>
    <t xml:space="preserve">Chi phí lương ban chỉ huy phục vụ cho dự án</t>
  </si>
  <si>
    <t xml:space="preserve">47</t>
  </si>
  <si>
    <t xml:space="preserve">Trang bị chỗ ở cho nhân viên Ban chỉ huy</t>
  </si>
  <si>
    <t xml:space="preserve">48</t>
  </si>
  <si>
    <t xml:space="preserve">Chi phí đi lại ban chỉ huy</t>
  </si>
  <si>
    <t xml:space="preserve">49</t>
  </si>
  <si>
    <t xml:space="preserve">Chi phí khác ban chỉ huy</t>
  </si>
  <si>
    <t xml:space="preserve">XI</t>
  </si>
  <si>
    <t xml:space="preserve">CHI PHÍ BIỆN PHÁP THI CÔNG</t>
  </si>
  <si>
    <t xml:space="preserve">Theo từng hạng mục thi công</t>
  </si>
  <si>
    <t xml:space="preserve">50</t>
  </si>
  <si>
    <t xml:space="preserve">Giàn giáo bao che</t>
  </si>
  <si>
    <t xml:space="preserve">51</t>
  </si>
  <si>
    <t xml:space="preserve">Biện pháp thi công đào hố sâu (Cừ larsen + hệ Shoring)</t>
  </si>
  <si>
    <t xml:space="preserve">52</t>
  </si>
  <si>
    <t xml:space="preserve">Chi phí biện pháp khoan cấy thép chịu lực</t>
  </si>
  <si>
    <t xml:space="preserve">53</t>
  </si>
  <si>
    <t xml:space="preserve">Chi phí lan can an toàn, lổ mở, cầu thang, hố thang máy, sàn thao tác</t>
  </si>
  <si>
    <t xml:space="preserve">54</t>
  </si>
  <si>
    <t xml:space="preserve">Dự trù ca bơm bê tông (10% số ca bơm bê tông dự án)</t>
  </si>
  <si>
    <t xml:space="preserve">55</t>
  </si>
  <si>
    <t xml:space="preserve">Vật tư phụ cho công tác tạm và phục vụ thi công</t>
  </si>
  <si>
    <t xml:space="preserve">56</t>
  </si>
  <si>
    <t xml:space="preserve">Chi phí biện pháp thi công trong không gian kín</t>
  </si>
  <si>
    <t xml:space="preserve">57</t>
  </si>
  <si>
    <t xml:space="preserve">Chi phí thuê thiết bị cơ giới theo ca</t>
  </si>
  <si>
    <t xml:space="preserve">58</t>
  </si>
  <si>
    <t xml:space="preserve">Chi phí vận chuyển vật tư thiết bị thi công</t>
  </si>
  <si>
    <t xml:space="preserve">chi phí vận hành kho</t>
  </si>
  <si>
    <t xml:space="preserve">59</t>
  </si>
  <si>
    <t xml:space="preserve">Chi phí lãi vay</t>
  </si>
  <si>
    <t xml:space="preserve">CHI PHÍ DỰ PHÒNG (Tổng chi phí dự phòng 1% giá trị dự án)</t>
  </si>
  <si>
    <t xml:space="preserve">Thuê trạm cân 100 Tấn</t>
  </si>
  <si>
    <t xml:space="preserve">ĐỐI SOÁT &amp; CHỈ SỐ</t>
  </si>
  <si>
    <t xml:space="preserve">Tổng theo sheet Prelims (ô tổng trong file)</t>
  </si>
  <si>
    <t xml:space="preserve">Số trong file gốc</t>
  </si>
  <si>
    <t xml:space="preserve">Chênh lệch: tổng cộng dồn dòng – tổng trong file</t>
  </si>
  <si>
    <t xml:space="preserve">Phải = 0</t>
  </si>
  <si>
    <t xml:space="preserve">Tổng theo sheet TH_Chiphichuanbi_TC (ô tổng trong file)</t>
  </si>
  <si>
    <t xml:space="preserve">Chênh lệch giữa 2 tổng (TH_Chiphichuanbi_TC – Prelims)</t>
  </si>
  <si>
    <t xml:space="preserve">Chưa rõ nguồn gốc ~815,5 triệu – cần đối soát (RuiRo #13)</t>
  </si>
  <si>
    <t xml:space="preserve">Giá trị hợp đồng dự kiến theo TH_Chiphichuanbi_TC (tỷ đồng)</t>
  </si>
  <si>
    <t xml:space="preserve">Phù hợp dự phòng 1% = 1,92 tỷ</t>
  </si>
  <si>
    <t xml:space="preserve">→ Prelim / giá trị hợp đồng 192 tỷ</t>
  </si>
  <si>
    <t xml:space="preserve">Giá trị hợp đồng dự kiến theo Pre_HSSE (tỷ đồng)</t>
  </si>
  <si>
    <t xml:space="preserve">Khác 192 tỷ (cùng tên gói) – cần thống nhất</t>
  </si>
  <si>
    <t xml:space="preserve">→ Prelim / giá trị hợp đồng 280 tỷ</t>
  </si>
  <si>
    <t xml:space="preserve">Trùng tỷ lệ 5,53% trong file gốc</t>
  </si>
  <si>
    <t xml:space="preserve">Prelim không gồm lãi vay &amp; dự phòng</t>
  </si>
  <si>
    <t xml:space="preserve">Chi phí vận hành thực tế</t>
  </si>
  <si>
    <t xml:space="preserve">→ Lãi vay + dự phòng / tổng Prelim</t>
  </si>
  <si>
    <t xml:space="preserve">Quỹ lương BCH trong Prelims – quỹ lương Pre_Manpower (3.842.517.364)</t>
  </si>
  <si>
    <t xml:space="preserve">Chênh ~144,4 triệu, cần giải trình</t>
  </si>
  <si>
    <t xml:space="preserve">TOP 10 KHOẢN MỤC CHI PHÍ LỚN NHẤT</t>
  </si>
  <si>
    <t xml:space="preserve">Hạng</t>
  </si>
  <si>
    <t xml:space="preserve">RỦI RO, SAI LỆCH DỮ LIỆU &amp; KIẾN NGHỊ</t>
  </si>
  <si>
    <t xml:space="preserve">Đánh giá sơ bộ từ việc đối chiếu bảng tiến độ và bảng khối lượng Prelim – cần xác nhận với các bên liên quan trước khi chốt.</t>
  </si>
  <si>
    <t xml:space="preserve">#</t>
  </si>
  <si>
    <t xml:space="preserve">Phát hiện</t>
  </si>
  <si>
    <t xml:space="preserve">Căn cứ</t>
  </si>
  <si>
    <t xml:space="preserve">Mức độ</t>
  </si>
  <si>
    <t xml:space="preserve">Kiến nghị</t>
  </si>
  <si>
    <t xml:space="preserve">Người phụ trách / hạn xử lý</t>
  </si>
  <si>
    <t xml:space="preserve">Dữ liệu</t>
  </si>
  <si>
    <t xml:space="preserve">Hai file lệch mốc thời gian: tiến độ 21/06/2026–18/03/2027; Prelim 01/07/2026–28/03/2027 (cùng 270 ngày, lệch 10 ngày). BCH, công nhật, thiết bị tính từ 01/07 trong khi chuẩn bị mặt bằng bắt đầu 21/06.</t>
  </si>
  <si>
    <t xml:space="preserve">TienDo ID 1; NguonLuc mục 3</t>
  </si>
  <si>
    <t xml:space="preserve">Cao</t>
  </si>
  <si>
    <t xml:space="preserve">Thống nhất một mốc khởi công; cập nhật lại thời gian bố trí nhân sự/thiết bị trong Prelim hoặc dịch tiến độ.</t>
  </si>
  <si>
    <t xml:space="preserve">Tiến độ</t>
  </si>
  <si>
    <t xml:space="preserve">Công tác kiến trúc nhà xưởng (ID 52–56: xây tường từ 21/06, trát 01/07, sơn 21/07, hoàn thiện đến 24/08/2026) bắt đầu trước móng (25/07) và kết cấu thép (31/08). Nhiều khả năng nhập sai ngày; ID 34 cũng bắt đầu 21/06 chỉ vì nhóm này.</t>
  </si>
  <si>
    <t xml:space="preserve">TienDo ID 34, 52–56</t>
  </si>
  <si>
    <t xml:space="preserve">Xác nhận lại logic với phòng kế hoạch; nếu dời sau kết cấu thép/tôn vách (từ 29/12/2026) cần đánh giá lại mốc 08/01/2027 và 18/03/2027.</t>
  </si>
  <si>
    <t xml:space="preserve">Văn phòng tạm (ID 8) ghi 24 ngày nhưng kéo dài 21/06–26/12/2026 (188 ngày); ID 7 ghi 188,88 ngày (số lẻ).</t>
  </si>
  <si>
    <t xml:space="preserve">TienDo ID 7–8, cột Kiểm tra</t>
  </si>
  <si>
    <t xml:space="preserve">Thấp</t>
  </si>
  <si>
    <t xml:space="preserve">Chuẩn hoá lại thành 2 dòng: lắp dựng (24 ngày) và duy trì/tháo dỡ (đến 26/12).</t>
  </si>
  <si>
    <t xml:space="preserve">Dựng thép bắt đầu trước khi móng hoàn thành: nhà VP dựng từ 16/08 nhưng móng–cổ cột đến 05/09; xưởng dựng từ 31/08 nhưng ép cọc đến 03/09 và cổ cột đến 15/09.</t>
  </si>
  <si>
    <t xml:space="preserve">TienDo ID 14, 19, 3, 38, 40</t>
  </si>
  <si>
    <t xml:space="preserve">Trung bình</t>
  </si>
  <si>
    <t xml:space="preserve">Chia phân khu theo trục; ghi rõ điều kiện cường độ/bảo dưỡng bê tông trước khi dựng; lập sơ đồ phân khu &amp; trình tự.</t>
  </si>
  <si>
    <t xml:space="preserve">Ép cọc xưởng đến 03/09 chạy song song đào móng xưởng từ 25/07; mốc bàn giao cọc ép (ID 2) là đầu vào của móng ba nhà.</t>
  </si>
  <si>
    <t xml:space="preserve">TienDo ID 2–5, 37</t>
  </si>
  <si>
    <t xml:space="preserve">Lập lịch bàn giao cọc theo phân khu; họp phối hợp hàng tuần với đơn vị ép cọc; mốc kiểm soát 15/07, 30/07, 03/09, 13/09.</t>
  </si>
  <si>
    <t xml:space="preserve">Tiến độ tính theo ngày lịch (Số ngày = Kết thúc – Bắt đầu), chưa tách Chủ nhật, ngày lễ, mưa (đến khoảng tháng 11) và Tết Đinh Mùi (Mùng 1 = 06/02/2027).</t>
  </si>
  <si>
    <t xml:space="preserve">TienDo cột H–I, L</t>
  </si>
  <si>
    <t xml:space="preserve">Lập lịch làm việc (calendar) trong MS Project: nghỉ Chủ nhật/lễ/Tết, hệ số mưa; chạy lại đường găng và trình lại ngày hoàn thành.</t>
  </si>
  <si>
    <t xml:space="preserve">Chuỗi cuối dự án không có dự trữ: Hoàn thiện đường nội bộ (ID 32, 01/02–18/03/2027) và Bàn giao (ID 84–85, 16/02–18/03/2027) kết thúc đúng mốc cuối và trùng Tết; thoát nước/đường nội bộ/bó vỉa là chuỗi dẫn tới mốc này. Nhà xưởng còn dự trữ ~69 ngày, nhà VP ~104 ngày.</t>
  </si>
  <si>
    <t xml:space="preserve">TienDo ID 27–32, 84–85, cột Dự trữ</t>
  </si>
  <si>
    <t xml:space="preserve">Đẩy sớm hạ tầng (thoát nước 13/09 đã có), bổ sung nhân lực hạ tầng trước Tết; thống nhất kế hoạch trực Tết.</t>
  </si>
  <si>
    <t xml:space="preserve">Nguồn lực</t>
  </si>
  <si>
    <t xml:space="preserve">Prelim không bố trí: quản lý tiến độ, KS giám sát kết cấu thép, trắc đạc, chỉ huy phó, trưởng nhóm giám sát hạ tầng/M&amp;E trong khi xưởng thép ~27.225 m² và nhiều hạng mục song song; trắc đạc công trình = 0 đồng.</t>
  </si>
  <si>
    <t xml:space="preserve">NguonLuc mục 1; Prelims #42</t>
  </si>
  <si>
    <t xml:space="preserve">Xác nhận ai đảm nhiệm trắc đạc/giám sát kết cấu thép (nhân sự hay thuê ngoài/CĐT).</t>
  </si>
  <si>
    <t xml:space="preserve">Chỉ 1 an toàn viên cho 250 công nhân (250:1); không có Trưởng ban HSSE, không có y tá; bộ PPE mua 10 áo phản quang an toàn viên và 3 nón xanh HSE (không khớp 1 người). Nhiều mặt trận đồng thời (xưởng, VP, hạ tầng, cầu ống, trạm cân).</t>
  </si>
  <si>
    <t xml:space="preserve">HSSE mục 1; Pre_Manpower</t>
  </si>
  <si>
    <t xml:space="preserve">Rà soát theo Luật ATVSLĐ 2015 và NĐ 39/2016/NĐ-CP; bổ sung an toàn viên/Trưởng ban HSSE trong các giai đoạn cao điểm (dựng thép, hạ tầng).</t>
  </si>
  <si>
    <t xml:space="preserve">Biện pháp</t>
  </si>
  <si>
    <t xml:space="preserve">Các dòng cấp nguồn điện–nước tạm đều có KL = 0 (trạm biến áp, dây ABC, tủ DB-T1, đấu nối điện/nước tạm, đồng hồ nước D60, máy phát) – chỉ có chiếu sáng, bồn nước 7 × 2 m³, chống sét. Mốc ID 10 (kết nối điện nước tạm xong 06/07/2026).</t>
  </si>
  <si>
    <t xml:space="preserve">BienPhap mục 1; Pre_Diennuoctam</t>
  </si>
  <si>
    <t xml:space="preserve">Xác nhận nguồn điện/nước tạm do CĐT/KCN cấp (điểm đấu nối, công suất cho máy hàn/đầm) hay nhà thầu; bổ sung vào Prelim nếu thiếu.</t>
  </si>
  <si>
    <t xml:space="preserve">Văn phòng CĐT &amp; tư vấn, hàng rào/cổng tạm (ghi chú: thầu AB chịu trách nhiệm), cầu rửa xe, nhà huấn luyện an toàn, bãi tập kết ngoài trời đều KL = 0.</t>
  </si>
  <si>
    <t xml:space="preserve">BienPhap ghi chú; Prelims #9–17</t>
  </si>
  <si>
    <t xml:space="preserve">Đối chiếu hợp đồng để phân định trách nhiệm; tránh phát sinh chi phí/bị chậm khi cần huấn luyện an toàn cho 250 công nhân.</t>
  </si>
  <si>
    <t xml:space="preserve">2 container vệ sinh 10ft cho ~250 công nhân và 1 container cho BCH.</t>
  </si>
  <si>
    <t xml:space="preserve">BienPhap mục 1</t>
  </si>
  <si>
    <t xml:space="preserve">Kiểm tra số lượng theo QCVN 18:2014/BXD và quy định của CĐT.</t>
  </si>
  <si>
    <t xml:space="preserve">Chi phí</t>
  </si>
  <si>
    <t xml:space="preserve">Hai tổng Prelim khác nhau: 15,470 tỷ (Prelims) và 16,286 tỷ (TH_Chiphichuanbi_TC), chênh ~815,5 triệu. Giá trị hợp đồng ghi 192 tỷ (TH) và 280 tỷ (HSSE) → tỷ lệ Prelim 8,06% hoặc 5,53%.</t>
  </si>
  <si>
    <t xml:space="preserve">ChiPhi – đối soát</t>
  </si>
  <si>
    <t xml:space="preserve">Đối soát nguồn gốc chênh lệch; thống nhất giá trị hợp đồng làm cơ sở (dự phòng 1% = 1,92 tỷ ứng với 192 tỷ).</t>
  </si>
  <si>
    <t xml:space="preserve">Lãi vay (2,016 tỷ) và dự phòng (1,92 tỷ) chiếm khoảng 25% Prelim; chi phí vận hành thực ~11,53 tỷ. Quỹ lương BCH trong Prelims lớn hơn Pre_Manpower ~144,4 triệu.</t>
  </si>
  <si>
    <t xml:space="preserve">Giải trình khoản chênh lương; trình bày tách riêng chi phí tài chính/dự phòng khi báo cáo.</t>
  </si>
  <si>
    <t xml:space="preserve">Bảng vệ sinh bàn giao tính VP 3 tầng và nhà xe 3 tầng (36.365 m²), trong khi tiến độ/giàn giáo chỉ có VP 2 tầng.</t>
  </si>
  <si>
    <t xml:space="preserve">BienPhap mục 2; TienDo ID 15–16</t>
  </si>
  <si>
    <t xml:space="preserve">Xác nhận số tầng; nếu VP 2 tầng và nhà xe 1 tầng, diện tích giảm khoảng 2.080 m².</t>
  </si>
  <si>
    <t xml:space="preserve">Phạm vi</t>
  </si>
  <si>
    <t xml:space="preserve">Bảng khối lượng chỉ là Prelim (chi phí phục vụ thi công); không có khối lượng công tác chính (cọc, bê tông, cốt thép, kết cấu thép, tôn, MEP, hạ tầng) nên chưa lập được biểu đồ nhân lực/vật tư/máy theo tiến độ, chưa kiểm tra năng suất từng đầu việc.</t>
  </si>
  <si>
    <t xml:space="preserve">Toàn bộ file Prelim</t>
  </si>
  <si>
    <t xml:space="preserve">Cung cấp bảng khối lượng chính để bổ sung biểu đồ nhân lực, vật tư và phân tích năng suất.</t>
  </si>
  <si>
    <t xml:space="preserve">Thiết bị</t>
  </si>
  <si>
    <t xml:space="preserve">Thiết bị nâng chỉ có 1 lot cẩu Kato/cẩu thùng (1,8 tỷ), không có cẩu tháp/vận thăng; giai đoạn 17/09–07/10/2026 có ba mặt trận dựng thép cùng lúc (xưởng, nhà đóng cont, cầu ống) và tôn mái xưởng từ 30/09.</t>
  </si>
  <si>
    <t xml:space="preserve">TienDo ID 40, 63, 79; NguonLuc mục 5</t>
  </si>
  <si>
    <t xml:space="preserve">Xác nhận số lượng/ca cẩu và đội dựng; lập lịch cẩu theo tuần.</t>
  </si>
  <si>
    <t xml:space="preserve">Số mục mức Cao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</si>
</sst>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dd/mm/yyyy"/>
    <numFmt numFmtId="166" formatCode="0"/>
    <numFmt numFmtId="167" formatCode="0%"/>
    <numFmt numFmtId="168" formatCode="#,##0"/>
    <numFmt numFmtId="169" formatCode="0.00%"/>
    <numFmt numFmtId="170" formatCode="mm/yyyy"/>
    <numFmt numFmtId="171" formatCode="d"/>
    <numFmt numFmtId="172" formatCode="0.##"/>
    <numFmt numFmtId="173" formatCode="mm/yy"/>
    <numFmt numFmtId="174" formatCode="#,##0.##"/>
    <numFmt numFmtId="175" formatCode="#,##0.0"/>
    <numFmt numFmtId="176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0000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2F2F2"/>
        <bgColor rgb="FFDDEBF7"/>
      </patternFill>
    </fill>
    <fill>
      <patternFill patternType="solid">
        <fgColor rgb="FF1F3864"/>
        <bgColor rgb="FF333333"/>
      </patternFill>
    </fill>
    <fill>
      <patternFill patternType="solid">
        <fgColor rgb="FFFFFF99"/>
        <bgColor rgb="FFFFE699"/>
      </patternFill>
    </fill>
    <fill>
      <patternFill patternType="solid">
        <fgColor rgb="FFDDEBF7"/>
        <bgColor rgb="FFF2F2F2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hair">
        <color rgb="FFD9D9D9"/>
      </left>
      <right style="hair">
        <color rgb="FFD9D9D9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2" shrinkToFit="false"/>
      <protection locked="true" hidden="false"/>
    </xf>
    <xf numFmtId="172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general" vertical="center" textRotation="0" wrapText="true" indent="2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3" shrinkToFit="false"/>
      <protection locked="true" hidden="false"/>
    </xf>
    <xf numFmtId="164" fontId="7" fillId="6" borderId="2" xfId="0" applyFont="true" applyBorder="true" applyAlignment="true" applyProtection="false">
      <alignment horizontal="general" vertical="center" textRotation="0" wrapText="true" indent="3" shrinkToFit="false"/>
      <protection locked="true" hidden="false"/>
    </xf>
    <xf numFmtId="164" fontId="7" fillId="6" borderId="2" xfId="0" applyFont="true" applyBorder="true" applyAlignment="true" applyProtection="false">
      <alignment horizontal="general" vertical="center" textRotation="0" wrapText="true" indent="4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5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4" shrinkToFit="false"/>
      <protection locked="true" hidden="false"/>
    </xf>
    <xf numFmtId="164" fontId="7" fillId="6" borderId="2" xfId="0" applyFont="true" applyBorder="true" applyAlignment="true" applyProtection="false">
      <alignment horizontal="general" vertical="center" textRotation="0" wrapText="true" indent="5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6" shrinkToFit="false"/>
      <protection locked="true" hidden="false"/>
    </xf>
    <xf numFmtId="164" fontId="7" fillId="6" borderId="2" xfId="0" applyFont="true" applyBorder="true" applyAlignment="true" applyProtection="false">
      <alignment horizontal="general" vertical="center" textRotation="0" wrapText="true" indent="6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7" shrinkToFit="false"/>
      <protection locked="true" hidden="false"/>
    </xf>
    <xf numFmtId="168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2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6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6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7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8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6" fontId="8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</font>
      <fill>
        <patternFill>
          <bgColor rgb="FFF8CBAD"/>
        </patternFill>
      </fill>
    </dxf>
    <dxf>
      <fill>
        <patternFill>
          <bgColor rgb="FF1F3864"/>
        </patternFill>
      </fill>
    </dxf>
    <dxf>
      <fill>
        <patternFill>
          <bgColor rgb="FFC00000"/>
        </patternFill>
      </fill>
    </dxf>
    <dxf>
      <fill>
        <patternFill>
          <bgColor rgb="FFED7D31"/>
        </patternFill>
      </fill>
    </dxf>
    <dxf>
      <fill>
        <patternFill>
          <bgColor rgb="FF5B9BD5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5B9BD5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699"/>
      <rgbColor rgb="FFC6E0B4"/>
      <rgbColor rgb="FFFFFF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BF8F00"/>
      <rgbColor rgb="FFED7D3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G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5" min="4" style="0" width="22"/>
    <col collapsed="false" customWidth="true" hidden="false" outlineLevel="0" max="6" min="6" style="0" width="20"/>
    <col collapsed="false" customWidth="true" hidden="false" outlineLevel="0" max="7" min="7" style="0" width="3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18" hidden="false" customHeight="true" outlineLevel="0" collapsed="false">
      <c r="A4" s="4" t="s">
        <v>3</v>
      </c>
      <c r="B4" s="4"/>
      <c r="C4" s="5" t="s">
        <v>4</v>
      </c>
      <c r="D4" s="5"/>
      <c r="E4" s="5"/>
      <c r="F4" s="5"/>
      <c r="G4" s="5"/>
    </row>
    <row r="5" customFormat="false" ht="18" hidden="false" customHeight="true" outlineLevel="0" collapsed="false">
      <c r="A5" s="4" t="s">
        <v>5</v>
      </c>
      <c r="B5" s="4"/>
      <c r="C5" s="5" t="s">
        <v>6</v>
      </c>
      <c r="D5" s="5"/>
      <c r="E5" s="5"/>
      <c r="F5" s="5"/>
      <c r="G5" s="5"/>
    </row>
    <row r="6" customFormat="false" ht="18" hidden="false" customHeight="true" outlineLevel="0" collapsed="false">
      <c r="A6" s="4" t="s">
        <v>7</v>
      </c>
      <c r="B6" s="4"/>
      <c r="C6" s="5" t="s">
        <v>8</v>
      </c>
      <c r="D6" s="5"/>
      <c r="E6" s="5"/>
      <c r="F6" s="5"/>
      <c r="G6" s="5"/>
    </row>
    <row r="7" customFormat="false" ht="18" hidden="false" customHeight="true" outlineLevel="0" collapsed="false">
      <c r="A7" s="4" t="s">
        <v>9</v>
      </c>
      <c r="B7" s="4"/>
      <c r="C7" s="5" t="s">
        <v>10</v>
      </c>
      <c r="D7" s="5"/>
      <c r="E7" s="5"/>
      <c r="F7" s="5"/>
      <c r="G7" s="5"/>
    </row>
    <row r="8" customFormat="false" ht="42" hidden="false" customHeight="true" outlineLevel="0" collapsed="false">
      <c r="A8" s="4" t="s">
        <v>11</v>
      </c>
      <c r="B8" s="4"/>
      <c r="C8" s="5" t="s">
        <v>12</v>
      </c>
      <c r="D8" s="5"/>
      <c r="E8" s="5"/>
      <c r="F8" s="5"/>
      <c r="G8" s="5"/>
    </row>
    <row r="9" customFormat="false" ht="18" hidden="false" customHeight="true" outlineLevel="0" collapsed="false">
      <c r="A9" s="4" t="s">
        <v>13</v>
      </c>
      <c r="B9" s="4"/>
      <c r="C9" s="5" t="s">
        <v>14</v>
      </c>
      <c r="D9" s="5"/>
      <c r="E9" s="5"/>
      <c r="F9" s="5"/>
      <c r="G9" s="5"/>
    </row>
    <row r="11" customFormat="false" ht="19.5" hidden="false" customHeight="true" outlineLevel="0" collapsed="false">
      <c r="A11" s="3" t="s">
        <v>15</v>
      </c>
      <c r="B11" s="3"/>
      <c r="C11" s="3"/>
      <c r="D11" s="3"/>
      <c r="E11" s="3"/>
      <c r="F11" s="3"/>
      <c r="G11" s="3"/>
    </row>
    <row r="12" customFormat="false" ht="15" hidden="false" customHeight="true" outlineLevel="0" collapsed="false">
      <c r="A12" s="5" t="s">
        <v>16</v>
      </c>
      <c r="B12" s="5"/>
      <c r="C12" s="6" t="n">
        <f aca="false">TienDo!$D$3</f>
        <v>46299</v>
      </c>
      <c r="D12" s="7" t="s">
        <v>17</v>
      </c>
      <c r="E12" s="7"/>
      <c r="F12" s="7"/>
      <c r="G12" s="7"/>
    </row>
    <row r="13" customFormat="false" ht="15" hidden="false" customHeight="true" outlineLevel="0" collapsed="false">
      <c r="A13" s="5" t="s">
        <v>18</v>
      </c>
      <c r="B13" s="5"/>
      <c r="C13" s="6" t="n">
        <f aca="false">MIN(TienDo!$F$8:$F$92)</f>
        <v>46194</v>
      </c>
      <c r="D13" s="7" t="s">
        <v>19</v>
      </c>
      <c r="E13" s="7"/>
      <c r="F13" s="7"/>
      <c r="G13" s="7"/>
    </row>
    <row r="14" customFormat="false" ht="15" hidden="false" customHeight="true" outlineLevel="0" collapsed="false">
      <c r="A14" s="5" t="s">
        <v>20</v>
      </c>
      <c r="B14" s="5"/>
      <c r="C14" s="6" t="n">
        <f aca="false">MAX(TienDo!$G$8:$G$92)</f>
        <v>46464</v>
      </c>
      <c r="D14" s="7" t="s">
        <v>21</v>
      </c>
      <c r="E14" s="7"/>
      <c r="F14" s="7"/>
      <c r="G14" s="7"/>
    </row>
    <row r="15" customFormat="false" ht="15" hidden="false" customHeight="true" outlineLevel="0" collapsed="false">
      <c r="A15" s="5" t="s">
        <v>22</v>
      </c>
      <c r="B15" s="5"/>
      <c r="C15" s="8" t="n">
        <f aca="false">MAX(TienDo!$G$8:$G$92)-MIN(TienDo!$F$8:$F$92)</f>
        <v>270</v>
      </c>
      <c r="D15" s="7" t="s">
        <v>23</v>
      </c>
      <c r="E15" s="7"/>
      <c r="F15" s="7"/>
      <c r="G15" s="7"/>
    </row>
    <row r="16" customFormat="false" ht="15" hidden="false" customHeight="true" outlineLevel="0" collapsed="false">
      <c r="A16" s="5" t="s">
        <v>24</v>
      </c>
      <c r="B16" s="5"/>
      <c r="C16" s="9" t="n">
        <f aca="false">MAX(0,MIN(1,(TienDo!$D$3-MIN(TienDo!$F$8:$F$92))/(MAX(TienDo!$G$8:$G$92)-MIN(TienDo!$F$8:$F$92))))</f>
        <v>0.388888888888889</v>
      </c>
      <c r="D16" s="7" t="s">
        <v>25</v>
      </c>
      <c r="E16" s="7"/>
      <c r="F16" s="7"/>
      <c r="G16" s="7"/>
    </row>
    <row r="17" customFormat="false" ht="15" hidden="false" customHeight="true" outlineLevel="0" collapsed="false">
      <c r="A17" s="5" t="s">
        <v>26</v>
      </c>
      <c r="B17" s="5"/>
      <c r="C17" s="8" t="n">
        <f aca="false">COUNTA(TienDo!$A$8:$A$92)</f>
        <v>85</v>
      </c>
      <c r="D17" s="7" t="s">
        <v>27</v>
      </c>
      <c r="E17" s="7"/>
      <c r="F17" s="7"/>
      <c r="G17" s="7"/>
    </row>
    <row r="18" customFormat="false" ht="15" hidden="false" customHeight="true" outlineLevel="0" collapsed="false">
      <c r="A18" s="5" t="s">
        <v>28</v>
      </c>
      <c r="B18" s="5"/>
      <c r="C18" s="8" t="n">
        <f aca="false">COUNTIF(TienDo!$D$8:$D$92,"Chi tiết")</f>
        <v>57</v>
      </c>
      <c r="D18" s="7"/>
      <c r="E18" s="7"/>
      <c r="F18" s="7"/>
      <c r="G18" s="7"/>
    </row>
    <row r="19" customFormat="false" ht="15" hidden="false" customHeight="true" outlineLevel="0" collapsed="false">
      <c r="A19" s="5" t="s">
        <v>29</v>
      </c>
      <c r="B19" s="5"/>
      <c r="C19" s="8" t="n">
        <f aca="false">COUNTIFS(TienDo!$D$8:$D$92,"Chi tiết",TienDo!$K$8:$K$92,"Đang thi công")</f>
        <v>16</v>
      </c>
      <c r="D19" s="7" t="s">
        <v>30</v>
      </c>
      <c r="E19" s="7"/>
      <c r="F19" s="7"/>
      <c r="G19" s="7"/>
    </row>
    <row r="20" customFormat="false" ht="15" hidden="false" customHeight="true" outlineLevel="0" collapsed="false">
      <c r="A20" s="5" t="s">
        <v>31</v>
      </c>
      <c r="B20" s="5"/>
      <c r="C20" s="8" t="n">
        <f aca="false">COUNTIFS(TienDo!$D$8:$D$92,"Chi tiết",TienDo!$K$8:$K$92,"Đến hạn xong")</f>
        <v>16</v>
      </c>
      <c r="D20" s="7" t="s">
        <v>32</v>
      </c>
      <c r="E20" s="7"/>
      <c r="F20" s="7"/>
      <c r="G20" s="7"/>
    </row>
    <row r="21" customFormat="false" ht="15" hidden="false" customHeight="true" outlineLevel="0" collapsed="false">
      <c r="A21" s="5" t="s">
        <v>33</v>
      </c>
      <c r="B21" s="5"/>
      <c r="C21" s="8" t="n">
        <f aca="false">COUNTIF(TienDo!$I$8:$I$92,"Lệch")</f>
        <v>1</v>
      </c>
      <c r="D21" s="7" t="s">
        <v>34</v>
      </c>
      <c r="E21" s="7"/>
      <c r="F21" s="7"/>
      <c r="G21" s="7"/>
    </row>
    <row r="22" customFormat="false" ht="15" hidden="false" customHeight="true" outlineLevel="0" collapsed="false">
      <c r="A22" s="5" t="s">
        <v>35</v>
      </c>
      <c r="B22" s="5"/>
      <c r="C22" s="8" t="n">
        <f aca="false">COUNTIF(TienDo!$L$8:$L$92,"Có")</f>
        <v>6</v>
      </c>
      <c r="D22" s="7" t="s">
        <v>36</v>
      </c>
      <c r="E22" s="7"/>
      <c r="F22" s="7"/>
      <c r="G22" s="7"/>
    </row>
    <row r="23" customFormat="false" ht="15" hidden="false" customHeight="true" outlineLevel="0" collapsed="false">
      <c r="A23" s="5" t="s">
        <v>37</v>
      </c>
      <c r="B23" s="5"/>
      <c r="C23" s="10" t="n">
        <f aca="false">NguonLuc!$C$18</f>
        <v>13</v>
      </c>
      <c r="D23" s="7" t="s">
        <v>38</v>
      </c>
      <c r="E23" s="7"/>
      <c r="F23" s="7"/>
      <c r="G23" s="7"/>
    </row>
    <row r="24" customFormat="false" ht="15" hidden="false" customHeight="true" outlineLevel="0" collapsed="false">
      <c r="A24" s="5" t="s">
        <v>39</v>
      </c>
      <c r="B24" s="5"/>
      <c r="C24" s="10" t="n">
        <f aca="false">HSSE!$C$6</f>
        <v>250</v>
      </c>
      <c r="D24" s="7" t="s">
        <v>40</v>
      </c>
      <c r="E24" s="7"/>
      <c r="F24" s="7"/>
      <c r="G24" s="7"/>
    </row>
    <row r="25" customFormat="false" ht="15" hidden="false" customHeight="true" outlineLevel="0" collapsed="false">
      <c r="A25" s="5" t="s">
        <v>41</v>
      </c>
      <c r="B25" s="5"/>
      <c r="C25" s="10" t="n">
        <f aca="false">ChiPhi!$F$5</f>
        <v>15470111739.2818</v>
      </c>
      <c r="D25" s="7" t="s">
        <v>42</v>
      </c>
      <c r="E25" s="7"/>
      <c r="F25" s="7"/>
      <c r="G25" s="7"/>
    </row>
    <row r="26" customFormat="false" ht="15" hidden="false" customHeight="true" outlineLevel="0" collapsed="false">
      <c r="A26" s="5" t="s">
        <v>43</v>
      </c>
      <c r="B26" s="5"/>
      <c r="C26" s="11" t="n">
        <f aca="false">ChiPhi!$F$87</f>
        <v>0.0805734986420927</v>
      </c>
      <c r="D26" s="7" t="s">
        <v>44</v>
      </c>
      <c r="E26" s="7"/>
      <c r="F26" s="7"/>
      <c r="G26" s="7"/>
    </row>
    <row r="27" customFormat="false" ht="15" hidden="false" customHeight="true" outlineLevel="0" collapsed="false">
      <c r="A27" s="5" t="s">
        <v>45</v>
      </c>
      <c r="B27" s="5"/>
      <c r="C27" s="8" t="n">
        <f aca="false">RuiRo!$C$22</f>
        <v>8</v>
      </c>
      <c r="D27" s="7" t="s">
        <v>46</v>
      </c>
      <c r="E27" s="7"/>
      <c r="F27" s="7"/>
      <c r="G27" s="7"/>
    </row>
    <row r="29" customFormat="false" ht="19.5" hidden="false" customHeight="true" outlineLevel="0" collapsed="false">
      <c r="A29" s="3" t="s">
        <v>47</v>
      </c>
      <c r="B29" s="3"/>
      <c r="C29" s="3"/>
      <c r="D29" s="3"/>
      <c r="E29" s="3"/>
      <c r="F29" s="3"/>
      <c r="G29" s="3"/>
    </row>
    <row r="30" customFormat="false" ht="42" hidden="false" customHeight="true" outlineLevel="0" collapsed="false">
      <c r="A30" s="12" t="s">
        <v>48</v>
      </c>
      <c r="B30" s="12" t="s">
        <v>49</v>
      </c>
      <c r="C30" s="12" t="s">
        <v>50</v>
      </c>
      <c r="D30" s="12" t="s">
        <v>51</v>
      </c>
      <c r="E30" s="12" t="s">
        <v>52</v>
      </c>
      <c r="F30" s="12" t="s">
        <v>53</v>
      </c>
      <c r="G30" s="12" t="s">
        <v>54</v>
      </c>
    </row>
    <row r="31" customFormat="false" ht="15" hidden="false" customHeight="false" outlineLevel="0" collapsed="false">
      <c r="A31" s="13" t="n">
        <v>1</v>
      </c>
      <c r="B31" s="14" t="s">
        <v>55</v>
      </c>
      <c r="C31" s="15" t="n">
        <f aca="false">TienDo!$F$8</f>
        <v>46194</v>
      </c>
      <c r="D31" s="16" t="n">
        <f aca="false">C31-TienDo!$D$3</f>
        <v>-105</v>
      </c>
      <c r="E31" s="16" t="n">
        <f aca="false">MAX(TienDo!$G$8:$G$92)-C31</f>
        <v>270</v>
      </c>
      <c r="F31" s="17" t="str">
        <f aca="false">IF(C31&lt;TienDo!$D$3,"Đến hạn theo KH","Sắp tới")</f>
        <v>Đến hạn theo KH</v>
      </c>
      <c r="G31" s="18"/>
    </row>
    <row r="32" customFormat="false" ht="15" hidden="false" customHeight="false" outlineLevel="0" collapsed="false">
      <c r="A32" s="13" t="n">
        <v>3</v>
      </c>
      <c r="B32" s="14" t="s">
        <v>56</v>
      </c>
      <c r="C32" s="15" t="n">
        <f aca="false">TienDo!$F$10</f>
        <v>46218</v>
      </c>
      <c r="D32" s="16" t="n">
        <f aca="false">C32-TienDo!$D$3</f>
        <v>-81</v>
      </c>
      <c r="E32" s="16" t="n">
        <f aca="false">MAX(TienDo!$G$8:$G$92)-C32</f>
        <v>246</v>
      </c>
      <c r="F32" s="17" t="str">
        <f aca="false">IF(C32&lt;TienDo!$D$3,"Đến hạn theo KH","Sắp tới")</f>
        <v>Đến hạn theo KH</v>
      </c>
      <c r="G32" s="18"/>
    </row>
    <row r="33" customFormat="false" ht="15" hidden="false" customHeight="false" outlineLevel="0" collapsed="false">
      <c r="A33" s="13" t="n">
        <v>4</v>
      </c>
      <c r="B33" s="14" t="s">
        <v>57</v>
      </c>
      <c r="C33" s="15" t="n">
        <f aca="false">TienDo!$G$11</f>
        <v>46233</v>
      </c>
      <c r="D33" s="16" t="n">
        <f aca="false">C33-TienDo!$D$3</f>
        <v>-66</v>
      </c>
      <c r="E33" s="16" t="n">
        <f aca="false">MAX(TienDo!$G$8:$G$92)-C33</f>
        <v>231</v>
      </c>
      <c r="F33" s="17" t="str">
        <f aca="false">IF(C33&lt;TienDo!$D$3,"Đến hạn theo KH","Sắp tới")</f>
        <v>Đến hạn theo KH</v>
      </c>
      <c r="G33" s="18"/>
    </row>
    <row r="34" customFormat="false" ht="15" hidden="false" customHeight="false" outlineLevel="0" collapsed="false">
      <c r="A34" s="13" t="n">
        <v>3</v>
      </c>
      <c r="B34" s="14" t="s">
        <v>58</v>
      </c>
      <c r="C34" s="15" t="n">
        <f aca="false">TienDo!$G$10</f>
        <v>46268</v>
      </c>
      <c r="D34" s="16" t="n">
        <f aca="false">C34-TienDo!$D$3</f>
        <v>-31</v>
      </c>
      <c r="E34" s="16" t="n">
        <f aca="false">MAX(TienDo!$G$8:$G$92)-C34</f>
        <v>196</v>
      </c>
      <c r="F34" s="17" t="str">
        <f aca="false">IF(C34&lt;TienDo!$D$3,"Đến hạn theo KH","Sắp tới")</f>
        <v>Đến hạn theo KH</v>
      </c>
      <c r="G34" s="18" t="s">
        <v>59</v>
      </c>
    </row>
    <row r="35" customFormat="false" ht="15" hidden="false" customHeight="false" outlineLevel="0" collapsed="false">
      <c r="A35" s="13" t="n">
        <v>19</v>
      </c>
      <c r="B35" s="14" t="s">
        <v>60</v>
      </c>
      <c r="C35" s="15" t="n">
        <f aca="false">TienDo!$G$26</f>
        <v>46270</v>
      </c>
      <c r="D35" s="16" t="n">
        <f aca="false">C35-TienDo!$D$3</f>
        <v>-29</v>
      </c>
      <c r="E35" s="16" t="n">
        <f aca="false">MAX(TienDo!$G$8:$G$92)-C35</f>
        <v>194</v>
      </c>
      <c r="F35" s="17" t="str">
        <f aca="false">IF(C35&lt;TienDo!$D$3,"Đến hạn theo KH","Sắp tới")</f>
        <v>Đến hạn theo KH</v>
      </c>
      <c r="G35" s="18"/>
    </row>
    <row r="36" customFormat="false" ht="15" hidden="false" customHeight="false" outlineLevel="0" collapsed="false">
      <c r="A36" s="13" t="n">
        <v>5</v>
      </c>
      <c r="B36" s="14" t="s">
        <v>61</v>
      </c>
      <c r="C36" s="15" t="n">
        <f aca="false">TienDo!$G$12</f>
        <v>46278</v>
      </c>
      <c r="D36" s="16" t="n">
        <f aca="false">C36-TienDo!$D$3</f>
        <v>-21</v>
      </c>
      <c r="E36" s="16" t="n">
        <f aca="false">MAX(TienDo!$G$8:$G$92)-C36</f>
        <v>186</v>
      </c>
      <c r="F36" s="17" t="str">
        <f aca="false">IF(C36&lt;TienDo!$D$3,"Đến hạn theo KH","Sắp tới")</f>
        <v>Đến hạn theo KH</v>
      </c>
      <c r="G36" s="18"/>
    </row>
    <row r="37" customFormat="false" ht="15" hidden="false" customHeight="false" outlineLevel="0" collapsed="false">
      <c r="A37" s="13" t="n">
        <v>36</v>
      </c>
      <c r="B37" s="14" t="s">
        <v>62</v>
      </c>
      <c r="C37" s="15" t="n">
        <f aca="false">TienDo!$G$43</f>
        <v>46280</v>
      </c>
      <c r="D37" s="16" t="n">
        <f aca="false">C37-TienDo!$D$3</f>
        <v>-19</v>
      </c>
      <c r="E37" s="16" t="n">
        <f aca="false">MAX(TienDo!$G$8:$G$92)-C37</f>
        <v>184</v>
      </c>
      <c r="F37" s="17" t="str">
        <f aca="false">IF(C37&lt;TienDo!$D$3,"Đến hạn theo KH","Sắp tới")</f>
        <v>Đến hạn theo KH</v>
      </c>
      <c r="G37" s="18"/>
    </row>
    <row r="38" customFormat="false" ht="15" hidden="false" customHeight="false" outlineLevel="0" collapsed="false">
      <c r="A38" s="13" t="n">
        <v>80</v>
      </c>
      <c r="B38" s="14" t="s">
        <v>63</v>
      </c>
      <c r="C38" s="15" t="n">
        <f aca="false">TienDo!$G$87</f>
        <v>46293</v>
      </c>
      <c r="D38" s="16" t="n">
        <f aca="false">C38-TienDo!$D$3</f>
        <v>-6</v>
      </c>
      <c r="E38" s="16" t="n">
        <f aca="false">MAX(TienDo!$G$8:$G$92)-C38</f>
        <v>171</v>
      </c>
      <c r="F38" s="17" t="str">
        <f aca="false">IF(C38&lt;TienDo!$D$3,"Đến hạn theo KH","Sắp tới")</f>
        <v>Đến hạn theo KH</v>
      </c>
      <c r="G38" s="18"/>
    </row>
    <row r="39" customFormat="false" ht="15" hidden="false" customHeight="false" outlineLevel="0" collapsed="false">
      <c r="A39" s="13" t="n">
        <v>77</v>
      </c>
      <c r="B39" s="14" t="s">
        <v>64</v>
      </c>
      <c r="C39" s="15" t="n">
        <f aca="false">TienDo!$G$84</f>
        <v>46310</v>
      </c>
      <c r="D39" s="16" t="n">
        <f aca="false">C39-TienDo!$D$3</f>
        <v>11</v>
      </c>
      <c r="E39" s="16" t="n">
        <f aca="false">MAX(TienDo!$G$8:$G$92)-C39</f>
        <v>154</v>
      </c>
      <c r="F39" s="17" t="str">
        <f aca="false">IF(C39&lt;TienDo!$D$3,"Đến hạn theo KH","Sắp tới")</f>
        <v>Sắp tới</v>
      </c>
      <c r="G39" s="18"/>
    </row>
    <row r="40" customFormat="false" ht="15" hidden="false" customHeight="false" outlineLevel="0" collapsed="false">
      <c r="A40" s="13" t="n">
        <v>57</v>
      </c>
      <c r="B40" s="14" t="s">
        <v>65</v>
      </c>
      <c r="C40" s="15" t="n">
        <f aca="false">TienDo!$G$64</f>
        <v>46344</v>
      </c>
      <c r="D40" s="16" t="n">
        <f aca="false">C40-TienDo!$D$3</f>
        <v>45</v>
      </c>
      <c r="E40" s="16" t="n">
        <f aca="false">MAX(TienDo!$G$8:$G$92)-C40</f>
        <v>120</v>
      </c>
      <c r="F40" s="17" t="str">
        <f aca="false">IF(C40&lt;TienDo!$D$3,"Đến hạn theo KH","Sắp tới")</f>
        <v>Sắp tới</v>
      </c>
      <c r="G40" s="18"/>
    </row>
    <row r="41" customFormat="false" ht="15" hidden="false" customHeight="false" outlineLevel="0" collapsed="false">
      <c r="A41" s="13" t="n">
        <v>25</v>
      </c>
      <c r="B41" s="14" t="s">
        <v>66</v>
      </c>
      <c r="C41" s="15" t="n">
        <f aca="false">TienDo!$G$32</f>
        <v>46360</v>
      </c>
      <c r="D41" s="16" t="n">
        <f aca="false">C41-TienDo!$D$3</f>
        <v>61</v>
      </c>
      <c r="E41" s="16" t="n">
        <f aca="false">MAX(TienDo!$G$8:$G$92)-C41</f>
        <v>104</v>
      </c>
      <c r="F41" s="17" t="str">
        <f aca="false">IF(C41&lt;TienDo!$D$3,"Đến hạn theo KH","Sắp tới")</f>
        <v>Sắp tới</v>
      </c>
      <c r="G41" s="18"/>
    </row>
    <row r="42" customFormat="false" ht="15" hidden="false" customHeight="false" outlineLevel="0" collapsed="false">
      <c r="A42" s="13" t="n">
        <v>45</v>
      </c>
      <c r="B42" s="14" t="s">
        <v>67</v>
      </c>
      <c r="C42" s="15" t="n">
        <f aca="false">TienDo!$G$52</f>
        <v>46372</v>
      </c>
      <c r="D42" s="16" t="n">
        <f aca="false">C42-TienDo!$D$3</f>
        <v>73</v>
      </c>
      <c r="E42" s="16" t="n">
        <f aca="false">MAX(TienDo!$G$8:$G$92)-C42</f>
        <v>92</v>
      </c>
      <c r="F42" s="17" t="str">
        <f aca="false">IF(C42&lt;TienDo!$D$3,"Đến hạn theo KH","Sắp tới")</f>
        <v>Sắp tới</v>
      </c>
      <c r="G42" s="18"/>
    </row>
    <row r="43" customFormat="false" ht="15" hidden="false" customHeight="false" outlineLevel="0" collapsed="false">
      <c r="A43" s="13" t="n">
        <v>39</v>
      </c>
      <c r="B43" s="14" t="s">
        <v>68</v>
      </c>
      <c r="C43" s="15" t="n">
        <f aca="false">TienDo!$G$46</f>
        <v>46385</v>
      </c>
      <c r="D43" s="16" t="n">
        <f aca="false">C43-TienDo!$D$3</f>
        <v>86</v>
      </c>
      <c r="E43" s="16" t="n">
        <f aca="false">MAX(TienDo!$G$8:$G$92)-C43</f>
        <v>79</v>
      </c>
      <c r="F43" s="17" t="str">
        <f aca="false">IF(C43&lt;TienDo!$D$3,"Đến hạn theo KH","Sắp tới")</f>
        <v>Sắp tới</v>
      </c>
      <c r="G43" s="18"/>
    </row>
    <row r="44" customFormat="false" ht="15" hidden="false" customHeight="false" outlineLevel="0" collapsed="false">
      <c r="A44" s="13" t="n">
        <v>34</v>
      </c>
      <c r="B44" s="14" t="s">
        <v>69</v>
      </c>
      <c r="C44" s="15" t="n">
        <f aca="false">TienDo!$G$41</f>
        <v>46395</v>
      </c>
      <c r="D44" s="16" t="n">
        <f aca="false">C44-TienDo!$D$3</f>
        <v>96</v>
      </c>
      <c r="E44" s="16" t="n">
        <f aca="false">MAX(TienDo!$G$8:$G$92)-C44</f>
        <v>69</v>
      </c>
      <c r="F44" s="17" t="str">
        <f aca="false">IF(C44&lt;TienDo!$D$3,"Đến hạn theo KH","Sắp tới")</f>
        <v>Sắp tới</v>
      </c>
      <c r="G44" s="18"/>
    </row>
    <row r="45" customFormat="false" ht="15" hidden="false" customHeight="false" outlineLevel="0" collapsed="false">
      <c r="A45" s="13" t="n">
        <v>27</v>
      </c>
      <c r="B45" s="14" t="s">
        <v>70</v>
      </c>
      <c r="C45" s="15" t="n">
        <f aca="false">TienDo!$G$34</f>
        <v>46398</v>
      </c>
      <c r="D45" s="16" t="n">
        <f aca="false">C45-TienDo!$D$3</f>
        <v>99</v>
      </c>
      <c r="E45" s="16" t="n">
        <f aca="false">MAX(TienDo!$G$8:$G$92)-C45</f>
        <v>66</v>
      </c>
      <c r="F45" s="17" t="str">
        <f aca="false">IF(C45&lt;TienDo!$D$3,"Đến hạn theo KH","Sắp tới")</f>
        <v>Sắp tới</v>
      </c>
      <c r="G45" s="18"/>
    </row>
    <row r="46" customFormat="false" ht="15" hidden="false" customHeight="false" outlineLevel="0" collapsed="false">
      <c r="A46" s="13" t="n">
        <v>83</v>
      </c>
      <c r="B46" s="14" t="s">
        <v>71</v>
      </c>
      <c r="C46" s="15" t="n">
        <f aca="false">TienDo!$G$90</f>
        <v>46428</v>
      </c>
      <c r="D46" s="16" t="n">
        <f aca="false">C46-TienDo!$D$3</f>
        <v>129</v>
      </c>
      <c r="E46" s="16" t="n">
        <f aca="false">MAX(TienDo!$G$8:$G$92)-C46</f>
        <v>36</v>
      </c>
      <c r="F46" s="17" t="str">
        <f aca="false">IF(C46&lt;TienDo!$D$3,"Đến hạn theo KH","Sắp tới")</f>
        <v>Sắp tới</v>
      </c>
      <c r="G46" s="18" t="s">
        <v>72</v>
      </c>
    </row>
    <row r="47" customFormat="false" ht="15" hidden="false" customHeight="false" outlineLevel="0" collapsed="false">
      <c r="A47" s="13" t="n">
        <v>81</v>
      </c>
      <c r="B47" s="14" t="s">
        <v>73</v>
      </c>
      <c r="C47" s="15" t="n">
        <f aca="false">TienDo!$G$88</f>
        <v>46434</v>
      </c>
      <c r="D47" s="16" t="n">
        <f aca="false">C47-TienDo!$D$3</f>
        <v>135</v>
      </c>
      <c r="E47" s="16" t="n">
        <f aca="false">MAX(TienDo!$G$8:$G$92)-C47</f>
        <v>30</v>
      </c>
      <c r="F47" s="17" t="str">
        <f aca="false">IF(C47&lt;TienDo!$D$3,"Đến hạn theo KH","Sắp tới")</f>
        <v>Sắp tới</v>
      </c>
      <c r="G47" s="18" t="s">
        <v>74</v>
      </c>
    </row>
    <row r="48" customFormat="false" ht="15" hidden="false" customHeight="false" outlineLevel="0" collapsed="false">
      <c r="A48" s="13" t="n">
        <v>82</v>
      </c>
      <c r="B48" s="14" t="s">
        <v>75</v>
      </c>
      <c r="C48" s="15" t="n">
        <f aca="false">TienDo!$G$89</f>
        <v>46443</v>
      </c>
      <c r="D48" s="16" t="n">
        <f aca="false">C48-TienDo!$D$3</f>
        <v>144</v>
      </c>
      <c r="E48" s="16" t="n">
        <f aca="false">MAX(TienDo!$G$8:$G$92)-C48</f>
        <v>21</v>
      </c>
      <c r="F48" s="17" t="str">
        <f aca="false">IF(C48&lt;TienDo!$D$3,"Đến hạn theo KH","Sắp tới")</f>
        <v>Sắp tới</v>
      </c>
      <c r="G48" s="18" t="s">
        <v>74</v>
      </c>
    </row>
    <row r="49" customFormat="false" ht="15" hidden="false" customHeight="false" outlineLevel="0" collapsed="false">
      <c r="A49" s="13" t="n">
        <v>84</v>
      </c>
      <c r="B49" s="14" t="s">
        <v>76</v>
      </c>
      <c r="C49" s="15" t="n">
        <f aca="false">TienDo!$G$91</f>
        <v>46464</v>
      </c>
      <c r="D49" s="16" t="n">
        <f aca="false">C49-TienDo!$D$3</f>
        <v>165</v>
      </c>
      <c r="E49" s="16" t="n">
        <f aca="false">MAX(TienDo!$G$8:$G$92)-C49</f>
        <v>0</v>
      </c>
      <c r="F49" s="17" t="str">
        <f aca="false">IF(C49&lt;TienDo!$D$3,"Đến hạn theo KH","Sắp tới")</f>
        <v>Sắp tới</v>
      </c>
      <c r="G49" s="18" t="s">
        <v>77</v>
      </c>
    </row>
    <row r="51" customFormat="false" ht="19.5" hidden="false" customHeight="true" outlineLevel="0" collapsed="false">
      <c r="A51" s="3" t="s">
        <v>78</v>
      </c>
      <c r="B51" s="3"/>
      <c r="C51" s="3"/>
      <c r="D51" s="3"/>
      <c r="E51" s="3"/>
      <c r="F51" s="3"/>
      <c r="G51" s="3"/>
    </row>
    <row r="52" customFormat="false" ht="30" hidden="false" customHeight="true" outlineLevel="0" collapsed="false">
      <c r="A52" s="12"/>
      <c r="B52" s="12" t="s">
        <v>79</v>
      </c>
      <c r="C52" s="12" t="s">
        <v>80</v>
      </c>
      <c r="D52" s="12" t="s">
        <v>81</v>
      </c>
      <c r="E52" s="12" t="s">
        <v>82</v>
      </c>
      <c r="F52" s="12"/>
      <c r="G52" s="12"/>
    </row>
    <row r="53" customFormat="false" ht="15" hidden="false" customHeight="false" outlineLevel="0" collapsed="false">
      <c r="A53" s="14"/>
      <c r="B53" s="19" t="n">
        <v>46174</v>
      </c>
      <c r="C53" s="20" t="n">
        <f aca="false">COUNTIFS(TienDo!$D$8:$D$92,"Chi tiết",TienDo!$F$8:$F$92,"&lt;="&amp;EOMONTH(B53,0),TienDo!$G$8:$G$92,"&gt;="&amp;B53)</f>
        <v>4</v>
      </c>
      <c r="D53" s="20" t="n">
        <f aca="false">COUNTIFS(TienDo!$D$8:$D$92,"Chi tiết",TienDo!$F$8:$F$92,"&gt;="&amp;B53,TienDo!$F$8:$F$92,"&lt;="&amp;EOMONTH(B53,0))</f>
        <v>4</v>
      </c>
      <c r="E53" s="20" t="n">
        <f aca="false">COUNTIFS(TienDo!$D$8:$D$92,"Chi tiết",TienDo!$G$8:$G$92,"&gt;="&amp;B53,TienDo!$G$8:$G$92,"&lt;="&amp;EOMONTH(B53,0))</f>
        <v>0</v>
      </c>
      <c r="F53" s="14"/>
      <c r="G53" s="14"/>
    </row>
    <row r="54" customFormat="false" ht="15" hidden="false" customHeight="false" outlineLevel="0" collapsed="false">
      <c r="A54" s="14"/>
      <c r="B54" s="21" t="n">
        <f aca="false">EDATE(B53,1)</f>
        <v>46204</v>
      </c>
      <c r="C54" s="20" t="n">
        <f aca="false">COUNTIFS(TienDo!$D$8:$D$92,"Chi tiết",TienDo!$F$8:$F$92,"&lt;="&amp;EOMONTH(B54,0),TienDo!$G$8:$G$92,"&gt;="&amp;B54)</f>
        <v>12</v>
      </c>
      <c r="D54" s="20" t="n">
        <f aca="false">COUNTIFS(TienDo!$D$8:$D$92,"Chi tiết",TienDo!$F$8:$F$92,"&gt;="&amp;B54,TienDo!$F$8:$F$92,"&lt;="&amp;EOMONTH(B54,0))</f>
        <v>8</v>
      </c>
      <c r="E54" s="20" t="n">
        <f aca="false">COUNTIFS(TienDo!$D$8:$D$92,"Chi tiết",TienDo!$G$8:$G$92,"&gt;="&amp;B54,TienDo!$G$8:$G$92,"&lt;="&amp;EOMONTH(B54,0))</f>
        <v>4</v>
      </c>
      <c r="F54" s="14"/>
      <c r="G54" s="14"/>
    </row>
    <row r="55" customFormat="false" ht="15" hidden="false" customHeight="false" outlineLevel="0" collapsed="false">
      <c r="A55" s="14"/>
      <c r="B55" s="21" t="n">
        <f aca="false">EDATE(B54,1)</f>
        <v>46235</v>
      </c>
      <c r="C55" s="20" t="n">
        <f aca="false">COUNTIFS(TienDo!$D$8:$D$92,"Chi tiết",TienDo!$F$8:$F$92,"&lt;="&amp;EOMONTH(B55,0),TienDo!$G$8:$G$92,"&gt;="&amp;B55)</f>
        <v>15</v>
      </c>
      <c r="D55" s="20" t="n">
        <f aca="false">COUNTIFS(TienDo!$D$8:$D$92,"Chi tiết",TienDo!$F$8:$F$92,"&gt;="&amp;B55,TienDo!$F$8:$F$92,"&lt;="&amp;EOMONTH(B55,0))</f>
        <v>7</v>
      </c>
      <c r="E55" s="20" t="n">
        <f aca="false">COUNTIFS(TienDo!$D$8:$D$92,"Chi tiết",TienDo!$G$8:$G$92,"&gt;="&amp;B55,TienDo!$G$8:$G$92,"&lt;="&amp;EOMONTH(B55,0))</f>
        <v>3</v>
      </c>
      <c r="F55" s="14"/>
      <c r="G55" s="14"/>
    </row>
    <row r="56" customFormat="false" ht="15" hidden="false" customHeight="false" outlineLevel="0" collapsed="false">
      <c r="A56" s="14"/>
      <c r="B56" s="21" t="n">
        <f aca="false">EDATE(B55,1)</f>
        <v>46266</v>
      </c>
      <c r="C56" s="20" t="n">
        <f aca="false">COUNTIFS(TienDo!$D$8:$D$92,"Chi tiết",TienDo!$F$8:$F$92,"&lt;="&amp;EOMONTH(B56,0),TienDo!$G$8:$G$92,"&gt;="&amp;B56)</f>
        <v>25</v>
      </c>
      <c r="D56" s="20" t="n">
        <f aca="false">COUNTIFS(TienDo!$D$8:$D$92,"Chi tiết",TienDo!$F$8:$F$92,"&gt;="&amp;B56,TienDo!$F$8:$F$92,"&lt;="&amp;EOMONTH(B56,0))</f>
        <v>13</v>
      </c>
      <c r="E56" s="20" t="n">
        <f aca="false">COUNTIFS(TienDo!$D$8:$D$92,"Chi tiết",TienDo!$G$8:$G$92,"&gt;="&amp;B56,TienDo!$G$8:$G$92,"&lt;="&amp;EOMONTH(B56,0))</f>
        <v>9</v>
      </c>
      <c r="F56" s="14"/>
      <c r="G56" s="14"/>
    </row>
    <row r="57" customFormat="false" ht="15" hidden="false" customHeight="false" outlineLevel="0" collapsed="false">
      <c r="A57" s="14"/>
      <c r="B57" s="21" t="n">
        <f aca="false">EDATE(B56,1)</f>
        <v>46296</v>
      </c>
      <c r="C57" s="20" t="n">
        <f aca="false">COUNTIFS(TienDo!$D$8:$D$92,"Chi tiết",TienDo!$F$8:$F$92,"&lt;="&amp;EOMONTH(B57,0),TienDo!$G$8:$G$92,"&gt;="&amp;B57)</f>
        <v>29</v>
      </c>
      <c r="D57" s="20" t="n">
        <f aca="false">COUNTIFS(TienDo!$D$8:$D$92,"Chi tiết",TienDo!$F$8:$F$92,"&gt;="&amp;B57,TienDo!$F$8:$F$92,"&lt;="&amp;EOMONTH(B57,0))</f>
        <v>13</v>
      </c>
      <c r="E57" s="20" t="n">
        <f aca="false">COUNTIFS(TienDo!$D$8:$D$92,"Chi tiết",TienDo!$G$8:$G$92,"&gt;="&amp;B57,TienDo!$G$8:$G$92,"&lt;="&amp;EOMONTH(B57,0))</f>
        <v>15</v>
      </c>
      <c r="F57" s="14"/>
      <c r="G57" s="14"/>
    </row>
    <row r="58" customFormat="false" ht="15" hidden="false" customHeight="false" outlineLevel="0" collapsed="false">
      <c r="A58" s="14"/>
      <c r="B58" s="21" t="n">
        <f aca="false">EDATE(B57,1)</f>
        <v>46327</v>
      </c>
      <c r="C58" s="20" t="n">
        <f aca="false">COUNTIFS(TienDo!$D$8:$D$92,"Chi tiết",TienDo!$F$8:$F$92,"&lt;="&amp;EOMONTH(B58,0),TienDo!$G$8:$G$92,"&gt;="&amp;B58)</f>
        <v>19</v>
      </c>
      <c r="D58" s="20" t="n">
        <f aca="false">COUNTIFS(TienDo!$D$8:$D$92,"Chi tiết",TienDo!$F$8:$F$92,"&gt;="&amp;B58,TienDo!$F$8:$F$92,"&lt;="&amp;EOMONTH(B58,0))</f>
        <v>5</v>
      </c>
      <c r="E58" s="20" t="n">
        <f aca="false">COUNTIFS(TienDo!$D$8:$D$92,"Chi tiết",TienDo!$G$8:$G$92,"&gt;="&amp;B58,TienDo!$G$8:$G$92,"&lt;="&amp;EOMONTH(B58,0))</f>
        <v>8</v>
      </c>
      <c r="F58" s="14"/>
      <c r="G58" s="14"/>
    </row>
    <row r="59" customFormat="false" ht="15" hidden="false" customHeight="false" outlineLevel="0" collapsed="false">
      <c r="A59" s="14"/>
      <c r="B59" s="21" t="n">
        <f aca="false">EDATE(B58,1)</f>
        <v>46357</v>
      </c>
      <c r="C59" s="20" t="n">
        <f aca="false">COUNTIFS(TienDo!$D$8:$D$92,"Chi tiết",TienDo!$F$8:$F$92,"&lt;="&amp;EOMONTH(B59,0),TienDo!$G$8:$G$92,"&gt;="&amp;B59)</f>
        <v>13</v>
      </c>
      <c r="D59" s="20" t="n">
        <f aca="false">COUNTIFS(TienDo!$D$8:$D$92,"Chi tiết",TienDo!$F$8:$F$92,"&gt;="&amp;B59,TienDo!$F$8:$F$92,"&lt;="&amp;EOMONTH(B59,0))</f>
        <v>2</v>
      </c>
      <c r="E59" s="20" t="n">
        <f aca="false">COUNTIFS(TienDo!$D$8:$D$92,"Chi tiết",TienDo!$G$8:$G$92,"&gt;="&amp;B59,TienDo!$G$8:$G$92,"&lt;="&amp;EOMONTH(B59,0))</f>
        <v>6</v>
      </c>
      <c r="F59" s="14"/>
      <c r="G59" s="14"/>
    </row>
    <row r="60" customFormat="false" ht="15" hidden="false" customHeight="false" outlineLevel="0" collapsed="false">
      <c r="A60" s="14"/>
      <c r="B60" s="21" t="n">
        <f aca="false">EDATE(B59,1)</f>
        <v>46388</v>
      </c>
      <c r="C60" s="20" t="n">
        <f aca="false">COUNTIFS(TienDo!$D$8:$D$92,"Chi tiết",TienDo!$F$8:$F$92,"&lt;="&amp;EOMONTH(B60,0),TienDo!$G$8:$G$92,"&gt;="&amp;B60)</f>
        <v>9</v>
      </c>
      <c r="D60" s="20" t="n">
        <f aca="false">COUNTIFS(TienDo!$D$8:$D$92,"Chi tiết",TienDo!$F$8:$F$92,"&gt;="&amp;B60,TienDo!$F$8:$F$92,"&lt;="&amp;EOMONTH(B60,0))</f>
        <v>2</v>
      </c>
      <c r="E60" s="20" t="n">
        <f aca="false">COUNTIFS(TienDo!$D$8:$D$92,"Chi tiết",TienDo!$G$8:$G$92,"&gt;="&amp;B60,TienDo!$G$8:$G$92,"&lt;="&amp;EOMONTH(B60,0))</f>
        <v>5</v>
      </c>
      <c r="F60" s="14"/>
      <c r="G60" s="14"/>
    </row>
    <row r="61" customFormat="false" ht="15" hidden="false" customHeight="false" outlineLevel="0" collapsed="false">
      <c r="A61" s="14"/>
      <c r="B61" s="21" t="n">
        <f aca="false">EDATE(B60,1)</f>
        <v>46419</v>
      </c>
      <c r="C61" s="20" t="n">
        <f aca="false">COUNTIFS(TienDo!$D$8:$D$92,"Chi tiết",TienDo!$F$8:$F$92,"&lt;="&amp;EOMONTH(B61,0),TienDo!$G$8:$G$92,"&gt;="&amp;B61)</f>
        <v>7</v>
      </c>
      <c r="D61" s="20" t="n">
        <f aca="false">COUNTIFS(TienDo!$D$8:$D$92,"Chi tiết",TienDo!$F$8:$F$92,"&gt;="&amp;B61,TienDo!$F$8:$F$92,"&lt;="&amp;EOMONTH(B61,0))</f>
        <v>3</v>
      </c>
      <c r="E61" s="20" t="n">
        <f aca="false">COUNTIFS(TienDo!$D$8:$D$92,"Chi tiết",TienDo!$G$8:$G$92,"&gt;="&amp;B61,TienDo!$G$8:$G$92,"&lt;="&amp;EOMONTH(B61,0))</f>
        <v>5</v>
      </c>
      <c r="F61" s="14"/>
      <c r="G61" s="14"/>
    </row>
    <row r="62" customFormat="false" ht="15" hidden="false" customHeight="false" outlineLevel="0" collapsed="false">
      <c r="A62" s="14"/>
      <c r="B62" s="21" t="n">
        <f aca="false">EDATE(B61,1)</f>
        <v>46447</v>
      </c>
      <c r="C62" s="20" t="n">
        <f aca="false">COUNTIFS(TienDo!$D$8:$D$92,"Chi tiết",TienDo!$F$8:$F$92,"&lt;="&amp;EOMONTH(B62,0),TienDo!$G$8:$G$92,"&gt;="&amp;B62)</f>
        <v>2</v>
      </c>
      <c r="D62" s="20" t="n">
        <f aca="false">COUNTIFS(TienDo!$D$8:$D$92,"Chi tiết",TienDo!$F$8:$F$92,"&gt;="&amp;B62,TienDo!$F$8:$F$92,"&lt;="&amp;EOMONTH(B62,0))</f>
        <v>0</v>
      </c>
      <c r="E62" s="20" t="n">
        <f aca="false">COUNTIFS(TienDo!$D$8:$D$92,"Chi tiết",TienDo!$G$8:$G$92,"&gt;="&amp;B62,TienDo!$G$8:$G$92,"&lt;="&amp;EOMONTH(B62,0))</f>
        <v>2</v>
      </c>
      <c r="F62" s="14"/>
      <c r="G62" s="14"/>
    </row>
    <row r="64" customFormat="false" ht="19.5" hidden="false" customHeight="true" outlineLevel="0" collapsed="false">
      <c r="A64" s="3" t="s">
        <v>83</v>
      </c>
      <c r="B64" s="3"/>
      <c r="C64" s="3"/>
      <c r="D64" s="3"/>
      <c r="E64" s="3"/>
      <c r="F64" s="3"/>
      <c r="G64" s="3"/>
    </row>
    <row r="65" customFormat="false" ht="30" hidden="false" customHeight="true" outlineLevel="0" collapsed="false">
      <c r="A65" s="5" t="s">
        <v>84</v>
      </c>
      <c r="B65" s="5"/>
      <c r="C65" s="5"/>
      <c r="D65" s="5"/>
      <c r="E65" s="5"/>
      <c r="F65" s="5"/>
      <c r="G65" s="5"/>
    </row>
    <row r="66" customFormat="false" ht="30" hidden="false" customHeight="true" outlineLevel="0" collapsed="false">
      <c r="A66" s="5" t="s">
        <v>85</v>
      </c>
      <c r="B66" s="5"/>
      <c r="C66" s="5"/>
      <c r="D66" s="5"/>
      <c r="E66" s="5"/>
      <c r="F66" s="5"/>
      <c r="G66" s="5"/>
    </row>
    <row r="67" customFormat="false" ht="30" hidden="false" customHeight="true" outlineLevel="0" collapsed="false">
      <c r="A67" s="5" t="s">
        <v>86</v>
      </c>
      <c r="B67" s="5"/>
      <c r="C67" s="5"/>
      <c r="D67" s="5"/>
      <c r="E67" s="5"/>
      <c r="F67" s="5"/>
      <c r="G67" s="5"/>
    </row>
    <row r="68" customFormat="false" ht="30" hidden="false" customHeight="true" outlineLevel="0" collapsed="false">
      <c r="A68" s="5" t="s">
        <v>87</v>
      </c>
      <c r="B68" s="5"/>
      <c r="C68" s="5"/>
      <c r="D68" s="5"/>
      <c r="E68" s="5"/>
      <c r="F68" s="5"/>
      <c r="G68" s="5"/>
    </row>
    <row r="69" customFormat="false" ht="30" hidden="false" customHeight="true" outlineLevel="0" collapsed="false">
      <c r="A69" s="5" t="s">
        <v>88</v>
      </c>
      <c r="B69" s="5"/>
      <c r="C69" s="5"/>
      <c r="D69" s="5"/>
      <c r="E69" s="5"/>
      <c r="F69" s="5"/>
      <c r="G69" s="5"/>
    </row>
    <row r="70" customFormat="false" ht="30" hidden="false" customHeight="true" outlineLevel="0" collapsed="false">
      <c r="A70" s="5" t="s">
        <v>89</v>
      </c>
      <c r="B70" s="5"/>
      <c r="C70" s="5"/>
      <c r="D70" s="5"/>
      <c r="E70" s="5"/>
      <c r="F70" s="5"/>
      <c r="G70" s="5"/>
    </row>
  </sheetData>
  <mergeCells count="57">
    <mergeCell ref="A1:G1"/>
    <mergeCell ref="A2:G2"/>
    <mergeCell ref="A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1:G11"/>
    <mergeCell ref="A12:B12"/>
    <mergeCell ref="D12:G12"/>
    <mergeCell ref="A13:B13"/>
    <mergeCell ref="D13:G13"/>
    <mergeCell ref="A14:B14"/>
    <mergeCell ref="D14:G14"/>
    <mergeCell ref="A15:B15"/>
    <mergeCell ref="D15:G15"/>
    <mergeCell ref="A16:B16"/>
    <mergeCell ref="D16:G16"/>
    <mergeCell ref="A17:B17"/>
    <mergeCell ref="D17:G17"/>
    <mergeCell ref="A18:B18"/>
    <mergeCell ref="D18:G18"/>
    <mergeCell ref="A19:B19"/>
    <mergeCell ref="D19:G19"/>
    <mergeCell ref="A20:B20"/>
    <mergeCell ref="D20:G20"/>
    <mergeCell ref="A21:B21"/>
    <mergeCell ref="D21:G21"/>
    <mergeCell ref="A22:B22"/>
    <mergeCell ref="D22:G22"/>
    <mergeCell ref="A23:B23"/>
    <mergeCell ref="D23:G23"/>
    <mergeCell ref="A24:B24"/>
    <mergeCell ref="D24:G24"/>
    <mergeCell ref="A25:B25"/>
    <mergeCell ref="D25:G25"/>
    <mergeCell ref="A26:B26"/>
    <mergeCell ref="D26:G26"/>
    <mergeCell ref="A27:B27"/>
    <mergeCell ref="D27:G27"/>
    <mergeCell ref="A29:G29"/>
    <mergeCell ref="A51:G51"/>
    <mergeCell ref="A64:G64"/>
    <mergeCell ref="A65:G65"/>
    <mergeCell ref="A66:G66"/>
    <mergeCell ref="A67:G67"/>
    <mergeCell ref="A68:G68"/>
    <mergeCell ref="A69:G69"/>
    <mergeCell ref="A70:G70"/>
  </mergeCells>
  <conditionalFormatting sqref="E31:E49">
    <cfRule type="cellIs" priority="2" operator="lessThanOrEqual" aboveAverage="0" equalAverage="0" bottom="0" percent="0" rank="0" text="" dxfId="0">
      <formula>30</formula>
    </cfRule>
  </conditionalFormatting>
  <conditionalFormatting sqref="C53:C62">
    <cfRule type="cellIs" priority="3" operator="equal" aboveAverage="0" equalAverage="0" bottom="0" percent="0" rank="0" text="" dxfId="1">
      <formula>MAX($C$53:$C$62)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BB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50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11"/>
    <col collapsed="false" customWidth="true" hidden="false" outlineLevel="0" max="14" min="14" style="0" width="46"/>
    <col collapsed="false" customWidth="true" hidden="false" outlineLevel="0" max="54" min="15" style="0" width="2.9"/>
  </cols>
  <sheetData>
    <row r="1" customFormat="false" ht="24" hidden="false" customHeight="true" outlineLevel="0" collapsed="false">
      <c r="A1" s="1" t="s">
        <v>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C3" s="22" t="s">
        <v>92</v>
      </c>
      <c r="D3" s="23" t="n">
        <v>46299</v>
      </c>
    </row>
    <row r="4" customFormat="false" ht="23.85" hidden="false" customHeight="false" outlineLevel="0" collapsed="false">
      <c r="C4" s="22" t="s">
        <v>93</v>
      </c>
      <c r="F4" s="23" t="n">
        <v>46422</v>
      </c>
      <c r="G4" s="23" t="n">
        <v>46432</v>
      </c>
    </row>
    <row r="5" customFormat="false" ht="25.5" hidden="false" customHeight="true" outlineLevel="0" collapsed="false">
      <c r="C5" s="24" t="s">
        <v>94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customFormat="false" ht="18" hidden="false" customHeight="true" outlineLevel="0" collapsed="false">
      <c r="A6" s="25" t="s">
        <v>48</v>
      </c>
      <c r="B6" s="25" t="s">
        <v>95</v>
      </c>
      <c r="C6" s="25" t="s">
        <v>96</v>
      </c>
      <c r="D6" s="25" t="s">
        <v>97</v>
      </c>
      <c r="E6" s="25" t="s">
        <v>98</v>
      </c>
      <c r="F6" s="25" t="s">
        <v>99</v>
      </c>
      <c r="G6" s="25" t="s">
        <v>100</v>
      </c>
      <c r="H6" s="25" t="s">
        <v>101</v>
      </c>
      <c r="I6" s="25" t="s">
        <v>102</v>
      </c>
      <c r="J6" s="25" t="s">
        <v>103</v>
      </c>
      <c r="K6" s="25" t="s">
        <v>53</v>
      </c>
      <c r="L6" s="25" t="s">
        <v>104</v>
      </c>
      <c r="M6" s="25" t="s">
        <v>105</v>
      </c>
      <c r="N6" s="25" t="s">
        <v>54</v>
      </c>
      <c r="O6" s="26" t="s">
        <v>106</v>
      </c>
      <c r="P6" s="26"/>
      <c r="Q6" s="26"/>
      <c r="R6" s="26" t="s">
        <v>107</v>
      </c>
      <c r="S6" s="26"/>
      <c r="T6" s="26"/>
      <c r="U6" s="26"/>
      <c r="V6" s="26" t="s">
        <v>108</v>
      </c>
      <c r="W6" s="26"/>
      <c r="X6" s="26"/>
      <c r="Y6" s="26"/>
      <c r="Z6" s="26"/>
      <c r="AA6" s="26" t="s">
        <v>109</v>
      </c>
      <c r="AB6" s="26"/>
      <c r="AC6" s="26"/>
      <c r="AD6" s="26"/>
      <c r="AE6" s="26" t="s">
        <v>110</v>
      </c>
      <c r="AF6" s="26"/>
      <c r="AG6" s="26"/>
      <c r="AH6" s="26"/>
      <c r="AI6" s="26" t="s">
        <v>111</v>
      </c>
      <c r="AJ6" s="26"/>
      <c r="AK6" s="26"/>
      <c r="AL6" s="26"/>
      <c r="AM6" s="26"/>
      <c r="AN6" s="26" t="s">
        <v>112</v>
      </c>
      <c r="AO6" s="26"/>
      <c r="AP6" s="26"/>
      <c r="AQ6" s="26"/>
      <c r="AR6" s="26" t="s">
        <v>113</v>
      </c>
      <c r="AS6" s="26"/>
      <c r="AT6" s="26"/>
      <c r="AU6" s="26"/>
      <c r="AV6" s="26" t="s">
        <v>114</v>
      </c>
      <c r="AW6" s="26"/>
      <c r="AX6" s="26"/>
      <c r="AY6" s="26"/>
      <c r="AZ6" s="26" t="s">
        <v>115</v>
      </c>
      <c r="BA6" s="26"/>
      <c r="BB6" s="26"/>
    </row>
    <row r="7" customFormat="false" ht="27.75" hidden="false" customHeight="true" outlineLevel="0" collapsed="false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7" t="n">
        <v>46188</v>
      </c>
      <c r="P7" s="28" t="n">
        <f aca="false">O7+7</f>
        <v>46195</v>
      </c>
      <c r="Q7" s="28" t="n">
        <f aca="false">P7+7</f>
        <v>46202</v>
      </c>
      <c r="R7" s="28" t="n">
        <f aca="false">Q7+7</f>
        <v>46209</v>
      </c>
      <c r="S7" s="28" t="n">
        <f aca="false">R7+7</f>
        <v>46216</v>
      </c>
      <c r="T7" s="28" t="n">
        <f aca="false">S7+7</f>
        <v>46223</v>
      </c>
      <c r="U7" s="28" t="n">
        <f aca="false">T7+7</f>
        <v>46230</v>
      </c>
      <c r="V7" s="28" t="n">
        <f aca="false">U7+7</f>
        <v>46237</v>
      </c>
      <c r="W7" s="28" t="n">
        <f aca="false">V7+7</f>
        <v>46244</v>
      </c>
      <c r="X7" s="28" t="n">
        <f aca="false">W7+7</f>
        <v>46251</v>
      </c>
      <c r="Y7" s="28" t="n">
        <f aca="false">X7+7</f>
        <v>46258</v>
      </c>
      <c r="Z7" s="28" t="n">
        <f aca="false">Y7+7</f>
        <v>46265</v>
      </c>
      <c r="AA7" s="28" t="n">
        <f aca="false">Z7+7</f>
        <v>46272</v>
      </c>
      <c r="AB7" s="28" t="n">
        <f aca="false">AA7+7</f>
        <v>46279</v>
      </c>
      <c r="AC7" s="28" t="n">
        <f aca="false">AB7+7</f>
        <v>46286</v>
      </c>
      <c r="AD7" s="28" t="n">
        <f aca="false">AC7+7</f>
        <v>46293</v>
      </c>
      <c r="AE7" s="28" t="n">
        <f aca="false">AD7+7</f>
        <v>46300</v>
      </c>
      <c r="AF7" s="28" t="n">
        <f aca="false">AE7+7</f>
        <v>46307</v>
      </c>
      <c r="AG7" s="28" t="n">
        <f aca="false">AF7+7</f>
        <v>46314</v>
      </c>
      <c r="AH7" s="28" t="n">
        <f aca="false">AG7+7</f>
        <v>46321</v>
      </c>
      <c r="AI7" s="28" t="n">
        <f aca="false">AH7+7</f>
        <v>46328</v>
      </c>
      <c r="AJ7" s="28" t="n">
        <f aca="false">AI7+7</f>
        <v>46335</v>
      </c>
      <c r="AK7" s="28" t="n">
        <f aca="false">AJ7+7</f>
        <v>46342</v>
      </c>
      <c r="AL7" s="28" t="n">
        <f aca="false">AK7+7</f>
        <v>46349</v>
      </c>
      <c r="AM7" s="28" t="n">
        <f aca="false">AL7+7</f>
        <v>46356</v>
      </c>
      <c r="AN7" s="28" t="n">
        <f aca="false">AM7+7</f>
        <v>46363</v>
      </c>
      <c r="AO7" s="28" t="n">
        <f aca="false">AN7+7</f>
        <v>46370</v>
      </c>
      <c r="AP7" s="28" t="n">
        <f aca="false">AO7+7</f>
        <v>46377</v>
      </c>
      <c r="AQ7" s="28" t="n">
        <f aca="false">AP7+7</f>
        <v>46384</v>
      </c>
      <c r="AR7" s="28" t="n">
        <f aca="false">AQ7+7</f>
        <v>46391</v>
      </c>
      <c r="AS7" s="28" t="n">
        <f aca="false">AR7+7</f>
        <v>46398</v>
      </c>
      <c r="AT7" s="28" t="n">
        <f aca="false">AS7+7</f>
        <v>46405</v>
      </c>
      <c r="AU7" s="28" t="n">
        <f aca="false">AT7+7</f>
        <v>46412</v>
      </c>
      <c r="AV7" s="28" t="n">
        <f aca="false">AU7+7</f>
        <v>46419</v>
      </c>
      <c r="AW7" s="28" t="n">
        <f aca="false">AV7+7</f>
        <v>46426</v>
      </c>
      <c r="AX7" s="28" t="n">
        <f aca="false">AW7+7</f>
        <v>46433</v>
      </c>
      <c r="AY7" s="28" t="n">
        <f aca="false">AX7+7</f>
        <v>46440</v>
      </c>
      <c r="AZ7" s="28" t="n">
        <f aca="false">AY7+7</f>
        <v>46447</v>
      </c>
      <c r="BA7" s="28" t="n">
        <f aca="false">AZ7+7</f>
        <v>46454</v>
      </c>
      <c r="BB7" s="28" t="n">
        <f aca="false">BA7+7</f>
        <v>46461</v>
      </c>
    </row>
    <row r="8" customFormat="false" ht="16.5" hidden="false" customHeight="true" outlineLevel="0" collapsed="false">
      <c r="A8" s="29" t="n">
        <v>1</v>
      </c>
      <c r="B8" s="30" t="s">
        <v>116</v>
      </c>
      <c r="C8" s="31" t="s">
        <v>117</v>
      </c>
      <c r="D8" s="32" t="s">
        <v>116</v>
      </c>
      <c r="E8" s="33" t="n">
        <v>270</v>
      </c>
      <c r="F8" s="34" t="n">
        <v>46194</v>
      </c>
      <c r="G8" s="34" t="n">
        <v>46464</v>
      </c>
      <c r="H8" s="35" t="n">
        <f aca="false">G8-F8</f>
        <v>270</v>
      </c>
      <c r="I8" s="36" t="str">
        <f aca="false">IF(ABS(H8-E8)&lt;1,"OK","Lệch")</f>
        <v>OK</v>
      </c>
      <c r="J8" s="37" t="n">
        <f aca="false">MAX(0,MIN(1,($D$3-F8)/(G8-F8)))</f>
        <v>0.388888888888889</v>
      </c>
      <c r="K8" s="32" t="str">
        <f aca="false">IF($D$3&lt;F8,"Chưa bắt đầu",IF($D$3&gt;G8,"Đến hạn xong","Đang thi công"))</f>
        <v>Đang thi công</v>
      </c>
      <c r="L8" s="36" t="str">
        <f aca="false">IF(AND(D8="Chi tiết",F8&lt;=$G$4,G8&gt;=$F$4),"Có","")</f>
        <v/>
      </c>
      <c r="M8" s="35" t="n">
        <f aca="false">MAX($G$8:$G$92)-G8</f>
        <v>0</v>
      </c>
      <c r="N8" s="38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</row>
    <row r="9" customFormat="false" ht="25.5" hidden="false" customHeight="true" outlineLevel="0" collapsed="false">
      <c r="A9" s="29" t="n">
        <v>2</v>
      </c>
      <c r="B9" s="30" t="s">
        <v>118</v>
      </c>
      <c r="C9" s="40" t="s">
        <v>119</v>
      </c>
      <c r="D9" s="32" t="s">
        <v>116</v>
      </c>
      <c r="E9" s="33" t="n">
        <v>60</v>
      </c>
      <c r="F9" s="34" t="n">
        <v>46218</v>
      </c>
      <c r="G9" s="34" t="n">
        <v>46278</v>
      </c>
      <c r="H9" s="35" t="n">
        <f aca="false">G9-F9</f>
        <v>60</v>
      </c>
      <c r="I9" s="36" t="str">
        <f aca="false">IF(ABS(H9-E9)&lt;1,"OK","Lệch")</f>
        <v>OK</v>
      </c>
      <c r="J9" s="37" t="n">
        <f aca="false">MAX(0,MIN(1,($D$3-F9)/(G9-F9)))</f>
        <v>1</v>
      </c>
      <c r="K9" s="32" t="str">
        <f aca="false">IF($D$3&lt;F9,"Chưa bắt đầu",IF($D$3&gt;G9,"Đến hạn xong","Đang thi công"))</f>
        <v>Đến hạn xong</v>
      </c>
      <c r="L9" s="36" t="str">
        <f aca="false">IF(AND(D9="Chi tiết",F9&lt;=$G$4,G9&gt;=$F$4),"Có","")</f>
        <v/>
      </c>
      <c r="M9" s="35" t="n">
        <f aca="false">MAX($G$8:$G$92)-G9</f>
        <v>186</v>
      </c>
      <c r="N9" s="38" t="s">
        <v>120</v>
      </c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</row>
    <row r="10" customFormat="false" ht="16.5" hidden="false" customHeight="true" outlineLevel="0" collapsed="false">
      <c r="A10" s="13" t="n">
        <v>3</v>
      </c>
      <c r="B10" s="18" t="s">
        <v>118</v>
      </c>
      <c r="C10" s="41" t="s">
        <v>121</v>
      </c>
      <c r="D10" s="17" t="s">
        <v>122</v>
      </c>
      <c r="E10" s="42" t="n">
        <v>50</v>
      </c>
      <c r="F10" s="43" t="n">
        <v>46218</v>
      </c>
      <c r="G10" s="43" t="n">
        <v>46268</v>
      </c>
      <c r="H10" s="16" t="n">
        <f aca="false">G10-F10</f>
        <v>50</v>
      </c>
      <c r="I10" s="13" t="str">
        <f aca="false">IF(ABS(H10-E10)&lt;1,"OK","Lệch")</f>
        <v>OK</v>
      </c>
      <c r="J10" s="44" t="n">
        <f aca="false">MAX(0,MIN(1,($D$3-F10)/(G10-F10)))</f>
        <v>1</v>
      </c>
      <c r="K10" s="17" t="str">
        <f aca="false">IF($D$3&lt;F10,"Chưa bắt đầu",IF($D$3&gt;G10,"Đến hạn xong","Đang thi công"))</f>
        <v>Đến hạn xong</v>
      </c>
      <c r="L10" s="13" t="str">
        <f aca="false">IF(AND(D10="Chi tiết",F10&lt;=$G$4,G10&gt;=$F$4),"Có","")</f>
        <v/>
      </c>
      <c r="M10" s="16" t="n">
        <f aca="false">MAX($G$8:$G$92)-G10</f>
        <v>196</v>
      </c>
      <c r="N10" s="18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</row>
    <row r="11" customFormat="false" ht="16.5" hidden="false" customHeight="true" outlineLevel="0" collapsed="false">
      <c r="A11" s="13" t="n">
        <v>4</v>
      </c>
      <c r="B11" s="18" t="s">
        <v>118</v>
      </c>
      <c r="C11" s="41" t="s">
        <v>123</v>
      </c>
      <c r="D11" s="17" t="s">
        <v>122</v>
      </c>
      <c r="E11" s="42" t="n">
        <v>15</v>
      </c>
      <c r="F11" s="43" t="n">
        <v>46218</v>
      </c>
      <c r="G11" s="43" t="n">
        <v>46233</v>
      </c>
      <c r="H11" s="16" t="n">
        <f aca="false">G11-F11</f>
        <v>15</v>
      </c>
      <c r="I11" s="13" t="str">
        <f aca="false">IF(ABS(H11-E11)&lt;1,"OK","Lệch")</f>
        <v>OK</v>
      </c>
      <c r="J11" s="44" t="n">
        <f aca="false">MAX(0,MIN(1,($D$3-F11)/(G11-F11)))</f>
        <v>1</v>
      </c>
      <c r="K11" s="17" t="str">
        <f aca="false">IF($D$3&lt;F11,"Chưa bắt đầu",IF($D$3&gt;G11,"Đến hạn xong","Đang thi công"))</f>
        <v>Đến hạn xong</v>
      </c>
      <c r="L11" s="13" t="str">
        <f aca="false">IF(AND(D11="Chi tiết",F11&lt;=$G$4,G11&gt;=$F$4),"Có","")</f>
        <v/>
      </c>
      <c r="M11" s="16" t="n">
        <f aca="false">MAX($G$8:$G$92)-G11</f>
        <v>231</v>
      </c>
      <c r="N11" s="18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</row>
    <row r="12" customFormat="false" ht="25.5" hidden="false" customHeight="true" outlineLevel="0" collapsed="false">
      <c r="A12" s="13" t="n">
        <v>5</v>
      </c>
      <c r="B12" s="18" t="s">
        <v>118</v>
      </c>
      <c r="C12" s="41" t="s">
        <v>124</v>
      </c>
      <c r="D12" s="17" t="s">
        <v>122</v>
      </c>
      <c r="E12" s="42" t="n">
        <v>60</v>
      </c>
      <c r="F12" s="43" t="n">
        <v>46218</v>
      </c>
      <c r="G12" s="43" t="n">
        <v>46278</v>
      </c>
      <c r="H12" s="16" t="n">
        <f aca="false">G12-F12</f>
        <v>60</v>
      </c>
      <c r="I12" s="13" t="str">
        <f aca="false">IF(ABS(H12-E12)&lt;1,"OK","Lệch")</f>
        <v>OK</v>
      </c>
      <c r="J12" s="44" t="n">
        <f aca="false">MAX(0,MIN(1,($D$3-F12)/(G12-F12)))</f>
        <v>1</v>
      </c>
      <c r="K12" s="17" t="str">
        <f aca="false">IF($D$3&lt;F12,"Chưa bắt đầu",IF($D$3&gt;G12,"Đến hạn xong","Đang thi công"))</f>
        <v>Đến hạn xong</v>
      </c>
      <c r="L12" s="13" t="str">
        <f aca="false">IF(AND(D12="Chi tiết",F12&lt;=$G$4,G12&gt;=$F$4),"Có","")</f>
        <v/>
      </c>
      <c r="M12" s="16" t="n">
        <f aca="false">MAX($G$8:$G$92)-G12</f>
        <v>186</v>
      </c>
      <c r="N12" s="18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</row>
    <row r="13" customFormat="false" ht="16.5" hidden="false" customHeight="true" outlineLevel="0" collapsed="false">
      <c r="A13" s="29" t="n">
        <v>6</v>
      </c>
      <c r="B13" s="30" t="s">
        <v>116</v>
      </c>
      <c r="C13" s="40" t="s">
        <v>125</v>
      </c>
      <c r="D13" s="32" t="s">
        <v>116</v>
      </c>
      <c r="E13" s="33" t="n">
        <v>270</v>
      </c>
      <c r="F13" s="34" t="n">
        <v>46194</v>
      </c>
      <c r="G13" s="34" t="n">
        <v>46464</v>
      </c>
      <c r="H13" s="35" t="n">
        <f aca="false">G13-F13</f>
        <v>270</v>
      </c>
      <c r="I13" s="36" t="str">
        <f aca="false">IF(ABS(H13-E13)&lt;1,"OK","Lệch")</f>
        <v>OK</v>
      </c>
      <c r="J13" s="37" t="n">
        <f aca="false">MAX(0,MIN(1,($D$3-F13)/(G13-F13)))</f>
        <v>0.388888888888889</v>
      </c>
      <c r="K13" s="32" t="str">
        <f aca="false">IF($D$3&lt;F13,"Chưa bắt đầu",IF($D$3&gt;G13,"Đến hạn xong","Đang thi công"))</f>
        <v>Đang thi công</v>
      </c>
      <c r="L13" s="36" t="str">
        <f aca="false">IF(AND(D13="Chi tiết",F13&lt;=$G$4,G13&gt;=$F$4),"Có","")</f>
        <v/>
      </c>
      <c r="M13" s="35" t="n">
        <f aca="false">MAX($G$8:$G$92)-G13</f>
        <v>0</v>
      </c>
      <c r="N13" s="38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</row>
    <row r="14" customFormat="false" ht="25.5" hidden="false" customHeight="true" outlineLevel="0" collapsed="false">
      <c r="A14" s="29" t="n">
        <v>7</v>
      </c>
      <c r="B14" s="30" t="s">
        <v>126</v>
      </c>
      <c r="C14" s="45" t="s">
        <v>127</v>
      </c>
      <c r="D14" s="32" t="s">
        <v>116</v>
      </c>
      <c r="E14" s="33" t="n">
        <v>188.88</v>
      </c>
      <c r="F14" s="34" t="n">
        <v>46194</v>
      </c>
      <c r="G14" s="34" t="n">
        <v>46382</v>
      </c>
      <c r="H14" s="35" t="n">
        <f aca="false">G14-F14</f>
        <v>188</v>
      </c>
      <c r="I14" s="36" t="str">
        <f aca="false">IF(ABS(H14-E14)&lt;1,"OK","Lệch")</f>
        <v>OK</v>
      </c>
      <c r="J14" s="37" t="n">
        <f aca="false">MAX(0,MIN(1,($D$3-F14)/(G14-F14)))</f>
        <v>0.558510638297872</v>
      </c>
      <c r="K14" s="32" t="str">
        <f aca="false">IF($D$3&lt;F14,"Chưa bắt đầu",IF($D$3&gt;G14,"Đến hạn xong","Đang thi công"))</f>
        <v>Đang thi công</v>
      </c>
      <c r="L14" s="36" t="str">
        <f aca="false">IF(AND(D14="Chi tiết",F14&lt;=$G$4,G14&gt;=$F$4),"Có","")</f>
        <v/>
      </c>
      <c r="M14" s="35" t="n">
        <f aca="false">MAX($G$8:$G$92)-G14</f>
        <v>82</v>
      </c>
      <c r="N14" s="38" t="s">
        <v>128</v>
      </c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</row>
    <row r="15" customFormat="false" ht="25.5" hidden="false" customHeight="true" outlineLevel="0" collapsed="false">
      <c r="A15" s="13" t="n">
        <v>8</v>
      </c>
      <c r="B15" s="18" t="s">
        <v>126</v>
      </c>
      <c r="C15" s="46" t="s">
        <v>129</v>
      </c>
      <c r="D15" s="17" t="s">
        <v>122</v>
      </c>
      <c r="E15" s="42" t="n">
        <v>24</v>
      </c>
      <c r="F15" s="43" t="n">
        <v>46194</v>
      </c>
      <c r="G15" s="43" t="n">
        <v>46382</v>
      </c>
      <c r="H15" s="16" t="n">
        <f aca="false">G15-F15</f>
        <v>188</v>
      </c>
      <c r="I15" s="13" t="str">
        <f aca="false">IF(ABS(H15-E15)&lt;1,"OK","Lệch")</f>
        <v>Lệch</v>
      </c>
      <c r="J15" s="44" t="n">
        <f aca="false">MAX(0,MIN(1,($D$3-F15)/(G15-F15)))</f>
        <v>0.558510638297872</v>
      </c>
      <c r="K15" s="17" t="str">
        <f aca="false">IF($D$3&lt;F15,"Chưa bắt đầu",IF($D$3&gt;G15,"Đến hạn xong","Đang thi công"))</f>
        <v>Đang thi công</v>
      </c>
      <c r="L15" s="13" t="str">
        <f aca="false">IF(AND(D15="Chi tiết",F15&lt;=$G$4,G15&gt;=$F$4),"Có","")</f>
        <v/>
      </c>
      <c r="M15" s="16" t="n">
        <f aca="false">MAX($G$8:$G$92)-G15</f>
        <v>82</v>
      </c>
      <c r="N15" s="18" t="s">
        <v>130</v>
      </c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</row>
    <row r="16" customFormat="false" ht="16.5" hidden="false" customHeight="true" outlineLevel="0" collapsed="false">
      <c r="A16" s="13" t="n">
        <v>9</v>
      </c>
      <c r="B16" s="18" t="s">
        <v>126</v>
      </c>
      <c r="C16" s="46" t="s">
        <v>131</v>
      </c>
      <c r="D16" s="17" t="s">
        <v>122</v>
      </c>
      <c r="E16" s="42" t="n">
        <v>15</v>
      </c>
      <c r="F16" s="43" t="n">
        <v>46194</v>
      </c>
      <c r="G16" s="43" t="n">
        <v>46209</v>
      </c>
      <c r="H16" s="16" t="n">
        <f aca="false">G16-F16</f>
        <v>15</v>
      </c>
      <c r="I16" s="13" t="str">
        <f aca="false">IF(ABS(H16-E16)&lt;1,"OK","Lệch")</f>
        <v>OK</v>
      </c>
      <c r="J16" s="44" t="n">
        <f aca="false">MAX(0,MIN(1,($D$3-F16)/(G16-F16)))</f>
        <v>1</v>
      </c>
      <c r="K16" s="17" t="str">
        <f aca="false">IF($D$3&lt;F16,"Chưa bắt đầu",IF($D$3&gt;G16,"Đến hạn xong","Đang thi công"))</f>
        <v>Đến hạn xong</v>
      </c>
      <c r="L16" s="13" t="str">
        <f aca="false">IF(AND(D16="Chi tiết",F16&lt;=$G$4,G16&gt;=$F$4),"Có","")</f>
        <v/>
      </c>
      <c r="M16" s="16" t="n">
        <f aca="false">MAX($G$8:$G$92)-G16</f>
        <v>255</v>
      </c>
      <c r="N16" s="18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</row>
    <row r="17" customFormat="false" ht="16.5" hidden="false" customHeight="true" outlineLevel="0" collapsed="false">
      <c r="A17" s="13" t="n">
        <v>10</v>
      </c>
      <c r="B17" s="18" t="s">
        <v>126</v>
      </c>
      <c r="C17" s="46" t="s">
        <v>132</v>
      </c>
      <c r="D17" s="17" t="s">
        <v>122</v>
      </c>
      <c r="E17" s="42" t="n">
        <v>15</v>
      </c>
      <c r="F17" s="43" t="n">
        <v>46194</v>
      </c>
      <c r="G17" s="43" t="n">
        <v>46209</v>
      </c>
      <c r="H17" s="16" t="n">
        <f aca="false">G17-F17</f>
        <v>15</v>
      </c>
      <c r="I17" s="13" t="str">
        <f aca="false">IF(ABS(H17-E17)&lt;1,"OK","Lệch")</f>
        <v>OK</v>
      </c>
      <c r="J17" s="44" t="n">
        <f aca="false">MAX(0,MIN(1,($D$3-F17)/(G17-F17)))</f>
        <v>1</v>
      </c>
      <c r="K17" s="17" t="str">
        <f aca="false">IF($D$3&lt;F17,"Chưa bắt đầu",IF($D$3&gt;G17,"Đến hạn xong","Đang thi công"))</f>
        <v>Đến hạn xong</v>
      </c>
      <c r="L17" s="13" t="str">
        <f aca="false">IF(AND(D17="Chi tiết",F17&lt;=$G$4,G17&gt;=$F$4),"Có","")</f>
        <v/>
      </c>
      <c r="M17" s="16" t="n">
        <f aca="false">MAX($G$8:$G$92)-G17</f>
        <v>255</v>
      </c>
      <c r="N17" s="18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</row>
    <row r="18" customFormat="false" ht="16.5" hidden="false" customHeight="true" outlineLevel="0" collapsed="false">
      <c r="A18" s="29" t="n">
        <v>11</v>
      </c>
      <c r="B18" s="30" t="s">
        <v>116</v>
      </c>
      <c r="C18" s="45" t="s">
        <v>133</v>
      </c>
      <c r="D18" s="32" t="s">
        <v>116</v>
      </c>
      <c r="E18" s="33" t="n">
        <v>270</v>
      </c>
      <c r="F18" s="34" t="n">
        <v>46194</v>
      </c>
      <c r="G18" s="34" t="n">
        <v>46464</v>
      </c>
      <c r="H18" s="35" t="n">
        <f aca="false">G18-F18</f>
        <v>270</v>
      </c>
      <c r="I18" s="36" t="str">
        <f aca="false">IF(ABS(H18-E18)&lt;1,"OK","Lệch")</f>
        <v>OK</v>
      </c>
      <c r="J18" s="37" t="n">
        <f aca="false">MAX(0,MIN(1,($D$3-F18)/(G18-F18)))</f>
        <v>0.388888888888889</v>
      </c>
      <c r="K18" s="32" t="str">
        <f aca="false">IF($D$3&lt;F18,"Chưa bắt đầu",IF($D$3&gt;G18,"Đến hạn xong","Đang thi công"))</f>
        <v>Đang thi công</v>
      </c>
      <c r="L18" s="36" t="str">
        <f aca="false">IF(AND(D18="Chi tiết",F18&lt;=$G$4,G18&gt;=$F$4),"Có","")</f>
        <v/>
      </c>
      <c r="M18" s="35" t="n">
        <f aca="false">MAX($G$8:$G$92)-G18</f>
        <v>0</v>
      </c>
      <c r="N18" s="38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</row>
    <row r="19" customFormat="false" ht="16.5" hidden="false" customHeight="true" outlineLevel="0" collapsed="false">
      <c r="A19" s="29" t="n">
        <v>12</v>
      </c>
      <c r="B19" s="30" t="s">
        <v>134</v>
      </c>
      <c r="C19" s="47" t="s">
        <v>135</v>
      </c>
      <c r="D19" s="32" t="s">
        <v>116</v>
      </c>
      <c r="E19" s="33" t="n">
        <v>120</v>
      </c>
      <c r="F19" s="34" t="n">
        <v>46240</v>
      </c>
      <c r="G19" s="34" t="n">
        <v>46360</v>
      </c>
      <c r="H19" s="35" t="n">
        <f aca="false">G19-F19</f>
        <v>120</v>
      </c>
      <c r="I19" s="36" t="str">
        <f aca="false">IF(ABS(H19-E19)&lt;1,"OK","Lệch")</f>
        <v>OK</v>
      </c>
      <c r="J19" s="37" t="n">
        <f aca="false">MAX(0,MIN(1,($D$3-F19)/(G19-F19)))</f>
        <v>0.491666666666667</v>
      </c>
      <c r="K19" s="32" t="str">
        <f aca="false">IF($D$3&lt;F19,"Chưa bắt đầu",IF($D$3&gt;G19,"Đến hạn xong","Đang thi công"))</f>
        <v>Đang thi công</v>
      </c>
      <c r="L19" s="36" t="str">
        <f aca="false">IF(AND(D19="Chi tiết",F19&lt;=$G$4,G19&gt;=$F$4),"Có","")</f>
        <v/>
      </c>
      <c r="M19" s="35" t="n">
        <f aca="false">MAX($G$8:$G$92)-G19</f>
        <v>104</v>
      </c>
      <c r="N19" s="38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</row>
    <row r="20" customFormat="false" ht="16.5" hidden="false" customHeight="true" outlineLevel="0" collapsed="false">
      <c r="A20" s="29" t="n">
        <v>13</v>
      </c>
      <c r="B20" s="30" t="s">
        <v>134</v>
      </c>
      <c r="C20" s="48" t="s">
        <v>136</v>
      </c>
      <c r="D20" s="32" t="s">
        <v>116</v>
      </c>
      <c r="E20" s="33" t="n">
        <v>80</v>
      </c>
      <c r="F20" s="34" t="n">
        <v>46240</v>
      </c>
      <c r="G20" s="34" t="n">
        <v>46320</v>
      </c>
      <c r="H20" s="35" t="n">
        <f aca="false">G20-F20</f>
        <v>80</v>
      </c>
      <c r="I20" s="36" t="str">
        <f aca="false">IF(ABS(H20-E20)&lt;1,"OK","Lệch")</f>
        <v>OK</v>
      </c>
      <c r="J20" s="37" t="n">
        <f aca="false">MAX(0,MIN(1,($D$3-F20)/(G20-F20)))</f>
        <v>0.7375</v>
      </c>
      <c r="K20" s="32" t="str">
        <f aca="false">IF($D$3&lt;F20,"Chưa bắt đầu",IF($D$3&gt;G20,"Đến hạn xong","Đang thi công"))</f>
        <v>Đang thi công</v>
      </c>
      <c r="L20" s="36" t="str">
        <f aca="false">IF(AND(D20="Chi tiết",F20&lt;=$G$4,G20&gt;=$F$4),"Có","")</f>
        <v/>
      </c>
      <c r="M20" s="35" t="n">
        <f aca="false">MAX($G$8:$G$92)-G20</f>
        <v>144</v>
      </c>
      <c r="N20" s="38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</row>
    <row r="21" customFormat="false" ht="16.5" hidden="false" customHeight="true" outlineLevel="0" collapsed="false">
      <c r="A21" s="13" t="n">
        <v>14</v>
      </c>
      <c r="B21" s="18" t="s">
        <v>134</v>
      </c>
      <c r="C21" s="49" t="s">
        <v>137</v>
      </c>
      <c r="D21" s="17" t="s">
        <v>122</v>
      </c>
      <c r="E21" s="42" t="n">
        <v>30</v>
      </c>
      <c r="F21" s="43" t="n">
        <v>46240</v>
      </c>
      <c r="G21" s="43" t="n">
        <v>46270</v>
      </c>
      <c r="H21" s="16" t="n">
        <f aca="false">G21-F21</f>
        <v>30</v>
      </c>
      <c r="I21" s="13" t="str">
        <f aca="false">IF(ABS(H21-E21)&lt;1,"OK","Lệch")</f>
        <v>OK</v>
      </c>
      <c r="J21" s="44" t="n">
        <f aca="false">MAX(0,MIN(1,($D$3-F21)/(G21-F21)))</f>
        <v>1</v>
      </c>
      <c r="K21" s="17" t="str">
        <f aca="false">IF($D$3&lt;F21,"Chưa bắt đầu",IF($D$3&gt;G21,"Đến hạn xong","Đang thi công"))</f>
        <v>Đến hạn xong</v>
      </c>
      <c r="L21" s="13" t="str">
        <f aca="false">IF(AND(D21="Chi tiết",F21&lt;=$G$4,G21&gt;=$F$4),"Có","")</f>
        <v/>
      </c>
      <c r="M21" s="16" t="n">
        <f aca="false">MAX($G$8:$G$92)-G21</f>
        <v>194</v>
      </c>
      <c r="N21" s="18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</row>
    <row r="22" customFormat="false" ht="16.5" hidden="false" customHeight="true" outlineLevel="0" collapsed="false">
      <c r="A22" s="13" t="n">
        <v>15</v>
      </c>
      <c r="B22" s="18" t="s">
        <v>134</v>
      </c>
      <c r="C22" s="49" t="s">
        <v>138</v>
      </c>
      <c r="D22" s="17" t="s">
        <v>122</v>
      </c>
      <c r="E22" s="42" t="n">
        <v>20</v>
      </c>
      <c r="F22" s="43" t="n">
        <v>46255</v>
      </c>
      <c r="G22" s="43" t="n">
        <v>46275</v>
      </c>
      <c r="H22" s="16" t="n">
        <f aca="false">G22-F22</f>
        <v>20</v>
      </c>
      <c r="I22" s="13" t="str">
        <f aca="false">IF(ABS(H22-E22)&lt;1,"OK","Lệch")</f>
        <v>OK</v>
      </c>
      <c r="J22" s="44" t="n">
        <f aca="false">MAX(0,MIN(1,($D$3-F22)/(G22-F22)))</f>
        <v>1</v>
      </c>
      <c r="K22" s="17" t="str">
        <f aca="false">IF($D$3&lt;F22,"Chưa bắt đầu",IF($D$3&gt;G22,"Đến hạn xong","Đang thi công"))</f>
        <v>Đến hạn xong</v>
      </c>
      <c r="L22" s="13" t="str">
        <f aca="false">IF(AND(D22="Chi tiết",F22&lt;=$G$4,G22&gt;=$F$4),"Có","")</f>
        <v/>
      </c>
      <c r="M22" s="16" t="n">
        <f aca="false">MAX($G$8:$G$92)-G22</f>
        <v>189</v>
      </c>
      <c r="N22" s="18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</row>
    <row r="23" customFormat="false" ht="16.5" hidden="false" customHeight="true" outlineLevel="0" collapsed="false">
      <c r="A23" s="13" t="n">
        <v>16</v>
      </c>
      <c r="B23" s="18" t="s">
        <v>134</v>
      </c>
      <c r="C23" s="49" t="s">
        <v>139</v>
      </c>
      <c r="D23" s="17" t="s">
        <v>122</v>
      </c>
      <c r="E23" s="42" t="n">
        <v>25</v>
      </c>
      <c r="F23" s="43" t="n">
        <v>46275</v>
      </c>
      <c r="G23" s="43" t="n">
        <v>46300</v>
      </c>
      <c r="H23" s="16" t="n">
        <f aca="false">G23-F23</f>
        <v>25</v>
      </c>
      <c r="I23" s="13" t="str">
        <f aca="false">IF(ABS(H23-E23)&lt;1,"OK","Lệch")</f>
        <v>OK</v>
      </c>
      <c r="J23" s="44" t="n">
        <f aca="false">MAX(0,MIN(1,($D$3-F23)/(G23-F23)))</f>
        <v>0.96</v>
      </c>
      <c r="K23" s="17" t="str">
        <f aca="false">IF($D$3&lt;F23,"Chưa bắt đầu",IF($D$3&gt;G23,"Đến hạn xong","Đang thi công"))</f>
        <v>Đang thi công</v>
      </c>
      <c r="L23" s="13" t="str">
        <f aca="false">IF(AND(D23="Chi tiết",F23&lt;=$G$4,G23&gt;=$F$4),"Có","")</f>
        <v/>
      </c>
      <c r="M23" s="16" t="n">
        <f aca="false">MAX($G$8:$G$92)-G23</f>
        <v>164</v>
      </c>
      <c r="N23" s="18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</row>
    <row r="24" customFormat="false" ht="16.5" hidden="false" customHeight="true" outlineLevel="0" collapsed="false">
      <c r="A24" s="13" t="n">
        <v>17</v>
      </c>
      <c r="B24" s="18" t="s">
        <v>134</v>
      </c>
      <c r="C24" s="49" t="s">
        <v>140</v>
      </c>
      <c r="D24" s="17" t="s">
        <v>122</v>
      </c>
      <c r="E24" s="42" t="n">
        <v>20</v>
      </c>
      <c r="F24" s="43" t="n">
        <v>46300</v>
      </c>
      <c r="G24" s="43" t="n">
        <v>46320</v>
      </c>
      <c r="H24" s="16" t="n">
        <f aca="false">G24-F24</f>
        <v>20</v>
      </c>
      <c r="I24" s="13" t="str">
        <f aca="false">IF(ABS(H24-E24)&lt;1,"OK","Lệch")</f>
        <v>OK</v>
      </c>
      <c r="J24" s="44" t="n">
        <f aca="false">MAX(0,MIN(1,($D$3-F24)/(G24-F24)))</f>
        <v>0</v>
      </c>
      <c r="K24" s="17" t="str">
        <f aca="false">IF($D$3&lt;F24,"Chưa bắt đầu",IF($D$3&gt;G24,"Đến hạn xong","Đang thi công"))</f>
        <v>Chưa bắt đầu</v>
      </c>
      <c r="L24" s="13" t="str">
        <f aca="false">IF(AND(D24="Chi tiết",F24&lt;=$G$4,G24&gt;=$F$4),"Có","")</f>
        <v/>
      </c>
      <c r="M24" s="16" t="n">
        <f aca="false">MAX($G$8:$G$92)-G24</f>
        <v>144</v>
      </c>
      <c r="N24" s="18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</row>
    <row r="25" customFormat="false" ht="16.5" hidden="false" customHeight="true" outlineLevel="0" collapsed="false">
      <c r="A25" s="29" t="n">
        <v>18</v>
      </c>
      <c r="B25" s="30" t="s">
        <v>134</v>
      </c>
      <c r="C25" s="48" t="s">
        <v>141</v>
      </c>
      <c r="D25" s="32" t="s">
        <v>116</v>
      </c>
      <c r="E25" s="33" t="n">
        <v>20</v>
      </c>
      <c r="F25" s="34" t="n">
        <v>46250</v>
      </c>
      <c r="G25" s="34" t="n">
        <v>46270</v>
      </c>
      <c r="H25" s="35" t="n">
        <f aca="false">G25-F25</f>
        <v>20</v>
      </c>
      <c r="I25" s="36" t="str">
        <f aca="false">IF(ABS(H25-E25)&lt;1,"OK","Lệch")</f>
        <v>OK</v>
      </c>
      <c r="J25" s="37" t="n">
        <f aca="false">MAX(0,MIN(1,($D$3-F25)/(G25-F25)))</f>
        <v>1</v>
      </c>
      <c r="K25" s="32" t="str">
        <f aca="false">IF($D$3&lt;F25,"Chưa bắt đầu",IF($D$3&gt;G25,"Đến hạn xong","Đang thi công"))</f>
        <v>Đến hạn xong</v>
      </c>
      <c r="L25" s="36" t="str">
        <f aca="false">IF(AND(D25="Chi tiết",F25&lt;=$G$4,G25&gt;=$F$4),"Có","")</f>
        <v/>
      </c>
      <c r="M25" s="35" t="n">
        <f aca="false">MAX($G$8:$G$92)-G25</f>
        <v>194</v>
      </c>
      <c r="N25" s="38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</row>
    <row r="26" customFormat="false" ht="25.5" hidden="false" customHeight="true" outlineLevel="0" collapsed="false">
      <c r="A26" s="13" t="n">
        <v>19</v>
      </c>
      <c r="B26" s="18" t="s">
        <v>134</v>
      </c>
      <c r="C26" s="49" t="s">
        <v>142</v>
      </c>
      <c r="D26" s="17" t="s">
        <v>122</v>
      </c>
      <c r="E26" s="42" t="n">
        <v>20</v>
      </c>
      <c r="F26" s="43" t="n">
        <v>46250</v>
      </c>
      <c r="G26" s="43" t="n">
        <v>46270</v>
      </c>
      <c r="H26" s="16" t="n">
        <f aca="false">G26-F26</f>
        <v>20</v>
      </c>
      <c r="I26" s="13" t="str">
        <f aca="false">IF(ABS(H26-E26)&lt;1,"OK","Lệch")</f>
        <v>OK</v>
      </c>
      <c r="J26" s="44" t="n">
        <f aca="false">MAX(0,MIN(1,($D$3-F26)/(G26-F26)))</f>
        <v>1</v>
      </c>
      <c r="K26" s="17" t="str">
        <f aca="false">IF($D$3&lt;F26,"Chưa bắt đầu",IF($D$3&gt;G26,"Đến hạn xong","Đang thi công"))</f>
        <v>Đến hạn xong</v>
      </c>
      <c r="L26" s="13" t="str">
        <f aca="false">IF(AND(D26="Chi tiết",F26&lt;=$G$4,G26&gt;=$F$4),"Có","")</f>
        <v/>
      </c>
      <c r="M26" s="16" t="n">
        <f aca="false">MAX($G$8:$G$92)-G26</f>
        <v>194</v>
      </c>
      <c r="N26" s="18" t="s">
        <v>143</v>
      </c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</row>
    <row r="27" customFormat="false" ht="16.5" hidden="false" customHeight="true" outlineLevel="0" collapsed="false">
      <c r="A27" s="29" t="n">
        <v>20</v>
      </c>
      <c r="B27" s="30" t="s">
        <v>134</v>
      </c>
      <c r="C27" s="48" t="s">
        <v>144</v>
      </c>
      <c r="D27" s="32" t="s">
        <v>116</v>
      </c>
      <c r="E27" s="33" t="n">
        <v>60</v>
      </c>
      <c r="F27" s="34" t="n">
        <v>46255</v>
      </c>
      <c r="G27" s="34" t="n">
        <v>46315</v>
      </c>
      <c r="H27" s="35" t="n">
        <f aca="false">G27-F27</f>
        <v>60</v>
      </c>
      <c r="I27" s="36" t="str">
        <f aca="false">IF(ABS(H27-E27)&lt;1,"OK","Lệch")</f>
        <v>OK</v>
      </c>
      <c r="J27" s="37" t="n">
        <f aca="false">MAX(0,MIN(1,($D$3-F27)/(G27-F27)))</f>
        <v>0.733333333333333</v>
      </c>
      <c r="K27" s="32" t="str">
        <f aca="false">IF($D$3&lt;F27,"Chưa bắt đầu",IF($D$3&gt;G27,"Đến hạn xong","Đang thi công"))</f>
        <v>Đang thi công</v>
      </c>
      <c r="L27" s="36" t="str">
        <f aca="false">IF(AND(D27="Chi tiết",F27&lt;=$G$4,G27&gt;=$F$4),"Có","")</f>
        <v/>
      </c>
      <c r="M27" s="35" t="n">
        <f aca="false">MAX($G$8:$G$92)-G27</f>
        <v>149</v>
      </c>
      <c r="N27" s="38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</row>
    <row r="28" customFormat="false" ht="16.5" hidden="false" customHeight="true" outlineLevel="0" collapsed="false">
      <c r="A28" s="13" t="n">
        <v>21</v>
      </c>
      <c r="B28" s="18" t="s">
        <v>134</v>
      </c>
      <c r="C28" s="49" t="s">
        <v>145</v>
      </c>
      <c r="D28" s="17" t="s">
        <v>122</v>
      </c>
      <c r="E28" s="42" t="n">
        <v>45</v>
      </c>
      <c r="F28" s="43" t="n">
        <v>46255</v>
      </c>
      <c r="G28" s="43" t="n">
        <v>46300</v>
      </c>
      <c r="H28" s="16" t="n">
        <f aca="false">G28-F28</f>
        <v>45</v>
      </c>
      <c r="I28" s="13" t="str">
        <f aca="false">IF(ABS(H28-E28)&lt;1,"OK","Lệch")</f>
        <v>OK</v>
      </c>
      <c r="J28" s="44" t="n">
        <f aca="false">MAX(0,MIN(1,($D$3-F28)/(G28-F28)))</f>
        <v>0.977777777777778</v>
      </c>
      <c r="K28" s="17" t="str">
        <f aca="false">IF($D$3&lt;F28,"Chưa bắt đầu",IF($D$3&gt;G28,"Đến hạn xong","Đang thi công"))</f>
        <v>Đang thi công</v>
      </c>
      <c r="L28" s="13" t="str">
        <f aca="false">IF(AND(D28="Chi tiết",F28&lt;=$G$4,G28&gt;=$F$4),"Có","")</f>
        <v/>
      </c>
      <c r="M28" s="16" t="n">
        <f aca="false">MAX($G$8:$G$92)-G28</f>
        <v>164</v>
      </c>
      <c r="N28" s="18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</row>
    <row r="29" customFormat="false" ht="16.5" hidden="false" customHeight="true" outlineLevel="0" collapsed="false">
      <c r="A29" s="13" t="n">
        <v>22</v>
      </c>
      <c r="B29" s="18" t="s">
        <v>134</v>
      </c>
      <c r="C29" s="49" t="s">
        <v>146</v>
      </c>
      <c r="D29" s="17" t="s">
        <v>122</v>
      </c>
      <c r="E29" s="42" t="n">
        <v>15</v>
      </c>
      <c r="F29" s="43" t="n">
        <v>46300</v>
      </c>
      <c r="G29" s="43" t="n">
        <v>46315</v>
      </c>
      <c r="H29" s="16" t="n">
        <f aca="false">G29-F29</f>
        <v>15</v>
      </c>
      <c r="I29" s="13" t="str">
        <f aca="false">IF(ABS(H29-E29)&lt;1,"OK","Lệch")</f>
        <v>OK</v>
      </c>
      <c r="J29" s="44" t="n">
        <f aca="false">MAX(0,MIN(1,($D$3-F29)/(G29-F29)))</f>
        <v>0</v>
      </c>
      <c r="K29" s="17" t="str">
        <f aca="false">IF($D$3&lt;F29,"Chưa bắt đầu",IF($D$3&gt;G29,"Đến hạn xong","Đang thi công"))</f>
        <v>Chưa bắt đầu</v>
      </c>
      <c r="L29" s="13" t="str">
        <f aca="false">IF(AND(D29="Chi tiết",F29&lt;=$G$4,G29&gt;=$F$4),"Có","")</f>
        <v/>
      </c>
      <c r="M29" s="16" t="n">
        <f aca="false">MAX($G$8:$G$92)-G29</f>
        <v>149</v>
      </c>
      <c r="N29" s="18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</row>
    <row r="30" customFormat="false" ht="16.5" hidden="false" customHeight="true" outlineLevel="0" collapsed="false">
      <c r="A30" s="29" t="n">
        <v>23</v>
      </c>
      <c r="B30" s="30" t="s">
        <v>134</v>
      </c>
      <c r="C30" s="48" t="s">
        <v>147</v>
      </c>
      <c r="D30" s="32" t="s">
        <v>116</v>
      </c>
      <c r="E30" s="33" t="n">
        <v>60</v>
      </c>
      <c r="F30" s="34" t="n">
        <v>46300</v>
      </c>
      <c r="G30" s="34" t="n">
        <v>46360</v>
      </c>
      <c r="H30" s="35" t="n">
        <f aca="false">G30-F30</f>
        <v>60</v>
      </c>
      <c r="I30" s="36" t="str">
        <f aca="false">IF(ABS(H30-E30)&lt;1,"OK","Lệch")</f>
        <v>OK</v>
      </c>
      <c r="J30" s="37" t="n">
        <f aca="false">MAX(0,MIN(1,($D$3-F30)/(G30-F30)))</f>
        <v>0</v>
      </c>
      <c r="K30" s="32" t="str">
        <f aca="false">IF($D$3&lt;F30,"Chưa bắt đầu",IF($D$3&gt;G30,"Đến hạn xong","Đang thi công"))</f>
        <v>Chưa bắt đầu</v>
      </c>
      <c r="L30" s="36" t="str">
        <f aca="false">IF(AND(D30="Chi tiết",F30&lt;=$G$4,G30&gt;=$F$4),"Có","")</f>
        <v/>
      </c>
      <c r="M30" s="35" t="n">
        <f aca="false">MAX($G$8:$G$92)-G30</f>
        <v>104</v>
      </c>
      <c r="N30" s="38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</row>
    <row r="31" customFormat="false" ht="16.5" hidden="false" customHeight="true" outlineLevel="0" collapsed="false">
      <c r="A31" s="13" t="n">
        <v>24</v>
      </c>
      <c r="B31" s="18" t="s">
        <v>134</v>
      </c>
      <c r="C31" s="49" t="s">
        <v>148</v>
      </c>
      <c r="D31" s="17" t="s">
        <v>122</v>
      </c>
      <c r="E31" s="42" t="n">
        <v>60</v>
      </c>
      <c r="F31" s="43" t="n">
        <v>46300</v>
      </c>
      <c r="G31" s="43" t="n">
        <v>46360</v>
      </c>
      <c r="H31" s="16" t="n">
        <f aca="false">G31-F31</f>
        <v>60</v>
      </c>
      <c r="I31" s="13" t="str">
        <f aca="false">IF(ABS(H31-E31)&lt;1,"OK","Lệch")</f>
        <v>OK</v>
      </c>
      <c r="J31" s="44" t="n">
        <f aca="false">MAX(0,MIN(1,($D$3-F31)/(G31-F31)))</f>
        <v>0</v>
      </c>
      <c r="K31" s="17" t="str">
        <f aca="false">IF($D$3&lt;F31,"Chưa bắt đầu",IF($D$3&gt;G31,"Đến hạn xong","Đang thi công"))</f>
        <v>Chưa bắt đầu</v>
      </c>
      <c r="L31" s="13" t="str">
        <f aca="false">IF(AND(D31="Chi tiết",F31&lt;=$G$4,G31&gt;=$F$4),"Có","")</f>
        <v/>
      </c>
      <c r="M31" s="16" t="n">
        <f aca="false">MAX($G$8:$G$92)-G31</f>
        <v>104</v>
      </c>
      <c r="N31" s="18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</row>
    <row r="32" customFormat="false" ht="16.5" hidden="false" customHeight="true" outlineLevel="0" collapsed="false">
      <c r="A32" s="13" t="n">
        <v>25</v>
      </c>
      <c r="B32" s="18" t="s">
        <v>134</v>
      </c>
      <c r="C32" s="50" t="s">
        <v>149</v>
      </c>
      <c r="D32" s="17" t="s">
        <v>122</v>
      </c>
      <c r="E32" s="42" t="n">
        <v>7</v>
      </c>
      <c r="F32" s="43" t="n">
        <v>46353</v>
      </c>
      <c r="G32" s="43" t="n">
        <v>46360</v>
      </c>
      <c r="H32" s="16" t="n">
        <f aca="false">G32-F32</f>
        <v>7</v>
      </c>
      <c r="I32" s="13" t="str">
        <f aca="false">IF(ABS(H32-E32)&lt;1,"OK","Lệch")</f>
        <v>OK</v>
      </c>
      <c r="J32" s="44" t="n">
        <f aca="false">MAX(0,MIN(1,($D$3-F32)/(G32-F32)))</f>
        <v>0</v>
      </c>
      <c r="K32" s="17" t="str">
        <f aca="false">IF($D$3&lt;F32,"Chưa bắt đầu",IF($D$3&gt;G32,"Đến hạn xong","Đang thi công"))</f>
        <v>Chưa bắt đầu</v>
      </c>
      <c r="L32" s="13" t="str">
        <f aca="false">IF(AND(D32="Chi tiết",F32&lt;=$G$4,G32&gt;=$F$4),"Có","")</f>
        <v/>
      </c>
      <c r="M32" s="16" t="n">
        <f aca="false">MAX($G$8:$G$92)-G32</f>
        <v>104</v>
      </c>
      <c r="N32" s="18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</row>
    <row r="33" customFormat="false" ht="16.5" hidden="false" customHeight="true" outlineLevel="0" collapsed="false">
      <c r="A33" s="29" t="n">
        <v>26</v>
      </c>
      <c r="B33" s="30" t="s">
        <v>150</v>
      </c>
      <c r="C33" s="47" t="s">
        <v>151</v>
      </c>
      <c r="D33" s="32" t="s">
        <v>116</v>
      </c>
      <c r="E33" s="33" t="n">
        <v>186</v>
      </c>
      <c r="F33" s="34" t="n">
        <v>46278</v>
      </c>
      <c r="G33" s="34" t="n">
        <v>46464</v>
      </c>
      <c r="H33" s="35" t="n">
        <f aca="false">G33-F33</f>
        <v>186</v>
      </c>
      <c r="I33" s="36" t="str">
        <f aca="false">IF(ABS(H33-E33)&lt;1,"OK","Lệch")</f>
        <v>OK</v>
      </c>
      <c r="J33" s="37" t="n">
        <f aca="false">MAX(0,MIN(1,($D$3-F33)/(G33-F33)))</f>
        <v>0.112903225806452</v>
      </c>
      <c r="K33" s="32" t="str">
        <f aca="false">IF($D$3&lt;F33,"Chưa bắt đầu",IF($D$3&gt;G33,"Đến hạn xong","Đang thi công"))</f>
        <v>Đang thi công</v>
      </c>
      <c r="L33" s="36" t="str">
        <f aca="false">IF(AND(D33="Chi tiết",F33&lt;=$G$4,G33&gt;=$F$4),"Có","")</f>
        <v/>
      </c>
      <c r="M33" s="35" t="n">
        <f aca="false">MAX($G$8:$G$92)-G33</f>
        <v>0</v>
      </c>
      <c r="N33" s="38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</row>
    <row r="34" customFormat="false" ht="16.5" hidden="false" customHeight="true" outlineLevel="0" collapsed="false">
      <c r="A34" s="13" t="n">
        <v>27</v>
      </c>
      <c r="B34" s="18" t="s">
        <v>150</v>
      </c>
      <c r="C34" s="50" t="s">
        <v>152</v>
      </c>
      <c r="D34" s="17" t="s">
        <v>122</v>
      </c>
      <c r="E34" s="42" t="n">
        <v>120</v>
      </c>
      <c r="F34" s="43" t="n">
        <v>46278</v>
      </c>
      <c r="G34" s="43" t="n">
        <v>46398</v>
      </c>
      <c r="H34" s="16" t="n">
        <f aca="false">G34-F34</f>
        <v>120</v>
      </c>
      <c r="I34" s="13" t="str">
        <f aca="false">IF(ABS(H34-E34)&lt;1,"OK","Lệch")</f>
        <v>OK</v>
      </c>
      <c r="J34" s="44" t="n">
        <f aca="false">MAX(0,MIN(1,($D$3-F34)/(G34-F34)))</f>
        <v>0.175</v>
      </c>
      <c r="K34" s="17" t="str">
        <f aca="false">IF($D$3&lt;F34,"Chưa bắt đầu",IF($D$3&gt;G34,"Đến hạn xong","Đang thi công"))</f>
        <v>Đang thi công</v>
      </c>
      <c r="L34" s="13" t="str">
        <f aca="false">IF(AND(D34="Chi tiết",F34&lt;=$G$4,G34&gt;=$F$4),"Có","")</f>
        <v/>
      </c>
      <c r="M34" s="16" t="n">
        <f aca="false">MAX($G$8:$G$92)-G34</f>
        <v>66</v>
      </c>
      <c r="N34" s="18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</row>
    <row r="35" customFormat="false" ht="16.5" hidden="false" customHeight="true" outlineLevel="0" collapsed="false">
      <c r="A35" s="13" t="n">
        <v>28</v>
      </c>
      <c r="B35" s="18" t="s">
        <v>150</v>
      </c>
      <c r="C35" s="50" t="s">
        <v>153</v>
      </c>
      <c r="D35" s="17" t="s">
        <v>122</v>
      </c>
      <c r="E35" s="42" t="n">
        <v>120</v>
      </c>
      <c r="F35" s="43" t="n">
        <v>46278</v>
      </c>
      <c r="G35" s="43" t="n">
        <v>46398</v>
      </c>
      <c r="H35" s="16" t="n">
        <f aca="false">G35-F35</f>
        <v>120</v>
      </c>
      <c r="I35" s="13" t="str">
        <f aca="false">IF(ABS(H35-E35)&lt;1,"OK","Lệch")</f>
        <v>OK</v>
      </c>
      <c r="J35" s="44" t="n">
        <f aca="false">MAX(0,MIN(1,($D$3-F35)/(G35-F35)))</f>
        <v>0.175</v>
      </c>
      <c r="K35" s="17" t="str">
        <f aca="false">IF($D$3&lt;F35,"Chưa bắt đầu",IF($D$3&gt;G35,"Đến hạn xong","Đang thi công"))</f>
        <v>Đang thi công</v>
      </c>
      <c r="L35" s="13" t="str">
        <f aca="false">IF(AND(D35="Chi tiết",F35&lt;=$G$4,G35&gt;=$F$4),"Có","")</f>
        <v/>
      </c>
      <c r="M35" s="16" t="n">
        <f aca="false">MAX($G$8:$G$92)-G35</f>
        <v>66</v>
      </c>
      <c r="N35" s="18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</row>
    <row r="36" customFormat="false" ht="16.5" hidden="false" customHeight="true" outlineLevel="0" collapsed="false">
      <c r="A36" s="13" t="n">
        <v>29</v>
      </c>
      <c r="B36" s="18" t="s">
        <v>150</v>
      </c>
      <c r="C36" s="50" t="s">
        <v>154</v>
      </c>
      <c r="D36" s="17" t="s">
        <v>122</v>
      </c>
      <c r="E36" s="42" t="n">
        <v>120</v>
      </c>
      <c r="F36" s="43" t="n">
        <v>46293</v>
      </c>
      <c r="G36" s="43" t="n">
        <v>46413</v>
      </c>
      <c r="H36" s="16" t="n">
        <f aca="false">G36-F36</f>
        <v>120</v>
      </c>
      <c r="I36" s="13" t="str">
        <f aca="false">IF(ABS(H36-E36)&lt;1,"OK","Lệch")</f>
        <v>OK</v>
      </c>
      <c r="J36" s="44" t="n">
        <f aca="false">MAX(0,MIN(1,($D$3-F36)/(G36-F36)))</f>
        <v>0.05</v>
      </c>
      <c r="K36" s="17" t="str">
        <f aca="false">IF($D$3&lt;F36,"Chưa bắt đầu",IF($D$3&gt;G36,"Đến hạn xong","Đang thi công"))</f>
        <v>Đang thi công</v>
      </c>
      <c r="L36" s="13" t="str">
        <f aca="false">IF(AND(D36="Chi tiết",F36&lt;=$G$4,G36&gt;=$F$4),"Có","")</f>
        <v/>
      </c>
      <c r="M36" s="16" t="n">
        <f aca="false">MAX($G$8:$G$92)-G36</f>
        <v>51</v>
      </c>
      <c r="N36" s="18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</row>
    <row r="37" customFormat="false" ht="16.5" hidden="false" customHeight="true" outlineLevel="0" collapsed="false">
      <c r="A37" s="13" t="n">
        <v>30</v>
      </c>
      <c r="B37" s="18" t="s">
        <v>150</v>
      </c>
      <c r="C37" s="50" t="s">
        <v>155</v>
      </c>
      <c r="D37" s="17" t="s">
        <v>122</v>
      </c>
      <c r="E37" s="42" t="n">
        <v>60</v>
      </c>
      <c r="F37" s="43" t="n">
        <v>46383</v>
      </c>
      <c r="G37" s="43" t="n">
        <v>46443</v>
      </c>
      <c r="H37" s="16" t="n">
        <f aca="false">G37-F37</f>
        <v>60</v>
      </c>
      <c r="I37" s="13" t="str">
        <f aca="false">IF(ABS(H37-E37)&lt;1,"OK","Lệch")</f>
        <v>OK</v>
      </c>
      <c r="J37" s="44" t="n">
        <f aca="false">MAX(0,MIN(1,($D$3-F37)/(G37-F37)))</f>
        <v>0</v>
      </c>
      <c r="K37" s="17" t="str">
        <f aca="false">IF($D$3&lt;F37,"Chưa bắt đầu",IF($D$3&gt;G37,"Đến hạn xong","Đang thi công"))</f>
        <v>Chưa bắt đầu</v>
      </c>
      <c r="L37" s="13" t="str">
        <f aca="false">IF(AND(D37="Chi tiết",F37&lt;=$G$4,G37&gt;=$F$4),"Có","")</f>
        <v>Có</v>
      </c>
      <c r="M37" s="16" t="n">
        <f aca="false">MAX($G$8:$G$92)-G37</f>
        <v>21</v>
      </c>
      <c r="N37" s="18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</row>
    <row r="38" customFormat="false" ht="16.5" hidden="false" customHeight="true" outlineLevel="0" collapsed="false">
      <c r="A38" s="13" t="n">
        <v>31</v>
      </c>
      <c r="B38" s="18" t="s">
        <v>150</v>
      </c>
      <c r="C38" s="50" t="s">
        <v>156</v>
      </c>
      <c r="D38" s="17" t="s">
        <v>122</v>
      </c>
      <c r="E38" s="42" t="n">
        <v>30</v>
      </c>
      <c r="F38" s="43" t="n">
        <v>46413</v>
      </c>
      <c r="G38" s="43" t="n">
        <v>46443</v>
      </c>
      <c r="H38" s="16" t="n">
        <f aca="false">G38-F38</f>
        <v>30</v>
      </c>
      <c r="I38" s="13" t="str">
        <f aca="false">IF(ABS(H38-E38)&lt;1,"OK","Lệch")</f>
        <v>OK</v>
      </c>
      <c r="J38" s="44" t="n">
        <f aca="false">MAX(0,MIN(1,($D$3-F38)/(G38-F38)))</f>
        <v>0</v>
      </c>
      <c r="K38" s="17" t="str">
        <f aca="false">IF($D$3&lt;F38,"Chưa bắt đầu",IF($D$3&gt;G38,"Đến hạn xong","Đang thi công"))</f>
        <v>Chưa bắt đầu</v>
      </c>
      <c r="L38" s="13" t="str">
        <f aca="false">IF(AND(D38="Chi tiết",F38&lt;=$G$4,G38&gt;=$F$4),"Có","")</f>
        <v>Có</v>
      </c>
      <c r="M38" s="16" t="n">
        <f aca="false">MAX($G$8:$G$92)-G38</f>
        <v>21</v>
      </c>
      <c r="N38" s="18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</row>
    <row r="39" customFormat="false" ht="16.5" hidden="false" customHeight="true" outlineLevel="0" collapsed="false">
      <c r="A39" s="13" t="n">
        <v>32</v>
      </c>
      <c r="B39" s="18" t="s">
        <v>150</v>
      </c>
      <c r="C39" s="50" t="s">
        <v>157</v>
      </c>
      <c r="D39" s="17" t="s">
        <v>122</v>
      </c>
      <c r="E39" s="42" t="n">
        <v>45</v>
      </c>
      <c r="F39" s="43" t="n">
        <v>46419</v>
      </c>
      <c r="G39" s="43" t="n">
        <v>46464</v>
      </c>
      <c r="H39" s="16" t="n">
        <f aca="false">G39-F39</f>
        <v>45</v>
      </c>
      <c r="I39" s="13" t="str">
        <f aca="false">IF(ABS(H39-E39)&lt;1,"OK","Lệch")</f>
        <v>OK</v>
      </c>
      <c r="J39" s="44" t="n">
        <f aca="false">MAX(0,MIN(1,($D$3-F39)/(G39-F39)))</f>
        <v>0</v>
      </c>
      <c r="K39" s="17" t="str">
        <f aca="false">IF($D$3&lt;F39,"Chưa bắt đầu",IF($D$3&gt;G39,"Đến hạn xong","Đang thi công"))</f>
        <v>Chưa bắt đầu</v>
      </c>
      <c r="L39" s="13" t="str">
        <f aca="false">IF(AND(D39="Chi tiết",F39&lt;=$G$4,G39&gt;=$F$4),"Có","")</f>
        <v>Có</v>
      </c>
      <c r="M39" s="16" t="n">
        <f aca="false">MAX($G$8:$G$92)-G39</f>
        <v>0</v>
      </c>
      <c r="N39" s="18" t="s">
        <v>158</v>
      </c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</row>
    <row r="40" customFormat="false" ht="16.5" hidden="false" customHeight="true" outlineLevel="0" collapsed="false">
      <c r="A40" s="13" t="n">
        <v>33</v>
      </c>
      <c r="B40" s="18" t="s">
        <v>159</v>
      </c>
      <c r="C40" s="46" t="s">
        <v>160</v>
      </c>
      <c r="D40" s="17" t="s">
        <v>122</v>
      </c>
      <c r="E40" s="42" t="n">
        <v>180</v>
      </c>
      <c r="F40" s="43" t="n">
        <v>46218</v>
      </c>
      <c r="G40" s="43" t="n">
        <v>46398</v>
      </c>
      <c r="H40" s="16" t="n">
        <f aca="false">G40-F40</f>
        <v>180</v>
      </c>
      <c r="I40" s="13" t="str">
        <f aca="false">IF(ABS(H40-E40)&lt;1,"OK","Lệch")</f>
        <v>OK</v>
      </c>
      <c r="J40" s="44" t="n">
        <f aca="false">MAX(0,MIN(1,($D$3-F40)/(G40-F40)))</f>
        <v>0.45</v>
      </c>
      <c r="K40" s="17" t="str">
        <f aca="false">IF($D$3&lt;F40,"Chưa bắt đầu",IF($D$3&gt;G40,"Đến hạn xong","Đang thi công"))</f>
        <v>Đang thi công</v>
      </c>
      <c r="L40" s="13" t="str">
        <f aca="false">IF(AND(D40="Chi tiết",F40&lt;=$G$4,G40&gt;=$F$4),"Có","")</f>
        <v/>
      </c>
      <c r="M40" s="16" t="n">
        <f aca="false">MAX($G$8:$G$92)-G40</f>
        <v>66</v>
      </c>
      <c r="N40" s="18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</row>
    <row r="41" customFormat="false" ht="25.5" hidden="false" customHeight="true" outlineLevel="0" collapsed="false">
      <c r="A41" s="29" t="n">
        <v>34</v>
      </c>
      <c r="B41" s="30" t="s">
        <v>161</v>
      </c>
      <c r="C41" s="47" t="s">
        <v>162</v>
      </c>
      <c r="D41" s="32" t="s">
        <v>116</v>
      </c>
      <c r="E41" s="33" t="n">
        <v>201</v>
      </c>
      <c r="F41" s="34" t="n">
        <v>46194</v>
      </c>
      <c r="G41" s="34" t="n">
        <v>46395</v>
      </c>
      <c r="H41" s="35" t="n">
        <f aca="false">G41-F41</f>
        <v>201</v>
      </c>
      <c r="I41" s="36" t="str">
        <f aca="false">IF(ABS(H41-E41)&lt;1,"OK","Lệch")</f>
        <v>OK</v>
      </c>
      <c r="J41" s="37" t="n">
        <f aca="false">MAX(0,MIN(1,($D$3-F41)/(G41-F41)))</f>
        <v>0.522388059701493</v>
      </c>
      <c r="K41" s="32" t="str">
        <f aca="false">IF($D$3&lt;F41,"Chưa bắt đầu",IF($D$3&gt;G41,"Đến hạn xong","Đang thi công"))</f>
        <v>Đang thi công</v>
      </c>
      <c r="L41" s="36" t="str">
        <f aca="false">IF(AND(D41="Chi tiết",F41&lt;=$G$4,G41&gt;=$F$4),"Có","")</f>
        <v/>
      </c>
      <c r="M41" s="35" t="n">
        <f aca="false">MAX($G$8:$G$92)-G41</f>
        <v>69</v>
      </c>
      <c r="N41" s="38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</row>
    <row r="42" customFormat="false" ht="16.5" hidden="false" customHeight="true" outlineLevel="0" collapsed="false">
      <c r="A42" s="29" t="n">
        <v>35</v>
      </c>
      <c r="B42" s="30" t="s">
        <v>161</v>
      </c>
      <c r="C42" s="48" t="s">
        <v>136</v>
      </c>
      <c r="D42" s="32" t="s">
        <v>116</v>
      </c>
      <c r="E42" s="33" t="n">
        <v>157</v>
      </c>
      <c r="F42" s="34" t="n">
        <v>46228</v>
      </c>
      <c r="G42" s="34" t="n">
        <v>46385</v>
      </c>
      <c r="H42" s="35" t="n">
        <f aca="false">G42-F42</f>
        <v>157</v>
      </c>
      <c r="I42" s="36" t="str">
        <f aca="false">IF(ABS(H42-E42)&lt;1,"OK","Lệch")</f>
        <v>OK</v>
      </c>
      <c r="J42" s="37" t="n">
        <f aca="false">MAX(0,MIN(1,($D$3-F42)/(G42-F42)))</f>
        <v>0.452229299363057</v>
      </c>
      <c r="K42" s="32" t="str">
        <f aca="false">IF($D$3&lt;F42,"Chưa bắt đầu",IF($D$3&gt;G42,"Đến hạn xong","Đang thi công"))</f>
        <v>Đang thi công</v>
      </c>
      <c r="L42" s="36" t="str">
        <f aca="false">IF(AND(D42="Chi tiết",F42&lt;=$G$4,G42&gt;=$F$4),"Có","")</f>
        <v/>
      </c>
      <c r="M42" s="35" t="n">
        <f aca="false">MAX($G$8:$G$92)-G42</f>
        <v>79</v>
      </c>
      <c r="N42" s="38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</row>
    <row r="43" customFormat="false" ht="16.5" hidden="false" customHeight="true" outlineLevel="0" collapsed="false">
      <c r="A43" s="29" t="n">
        <v>36</v>
      </c>
      <c r="B43" s="30" t="s">
        <v>161</v>
      </c>
      <c r="C43" s="51" t="s">
        <v>163</v>
      </c>
      <c r="D43" s="32" t="s">
        <v>116</v>
      </c>
      <c r="E43" s="33" t="n">
        <v>52</v>
      </c>
      <c r="F43" s="34" t="n">
        <v>46228</v>
      </c>
      <c r="G43" s="34" t="n">
        <v>46280</v>
      </c>
      <c r="H43" s="35" t="n">
        <f aca="false">G43-F43</f>
        <v>52</v>
      </c>
      <c r="I43" s="36" t="str">
        <f aca="false">IF(ABS(H43-E43)&lt;1,"OK","Lệch")</f>
        <v>OK</v>
      </c>
      <c r="J43" s="37" t="n">
        <f aca="false">MAX(0,MIN(1,($D$3-F43)/(G43-F43)))</f>
        <v>1</v>
      </c>
      <c r="K43" s="32" t="str">
        <f aca="false">IF($D$3&lt;F43,"Chưa bắt đầu",IF($D$3&gt;G43,"Đến hạn xong","Đang thi công"))</f>
        <v>Đến hạn xong</v>
      </c>
      <c r="L43" s="36" t="str">
        <f aca="false">IF(AND(D43="Chi tiết",F43&lt;=$G$4,G43&gt;=$F$4),"Có","")</f>
        <v/>
      </c>
      <c r="M43" s="35" t="n">
        <f aca="false">MAX($G$8:$G$92)-G43</f>
        <v>184</v>
      </c>
      <c r="N43" s="38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</row>
    <row r="44" customFormat="false" ht="25.5" hidden="false" customHeight="true" outlineLevel="0" collapsed="false">
      <c r="A44" s="13" t="n">
        <v>37</v>
      </c>
      <c r="B44" s="18" t="s">
        <v>161</v>
      </c>
      <c r="C44" s="52" t="s">
        <v>164</v>
      </c>
      <c r="D44" s="17" t="s">
        <v>122</v>
      </c>
      <c r="E44" s="42" t="n">
        <v>45</v>
      </c>
      <c r="F44" s="43" t="n">
        <v>46228</v>
      </c>
      <c r="G44" s="43" t="n">
        <v>46273</v>
      </c>
      <c r="H44" s="16" t="n">
        <f aca="false">G44-F44</f>
        <v>45</v>
      </c>
      <c r="I44" s="13" t="str">
        <f aca="false">IF(ABS(H44-E44)&lt;1,"OK","Lệch")</f>
        <v>OK</v>
      </c>
      <c r="J44" s="44" t="n">
        <f aca="false">MAX(0,MIN(1,($D$3-F44)/(G44-F44)))</f>
        <v>1</v>
      </c>
      <c r="K44" s="17" t="str">
        <f aca="false">IF($D$3&lt;F44,"Chưa bắt đầu",IF($D$3&gt;G44,"Đến hạn xong","Đang thi công"))</f>
        <v>Đến hạn xong</v>
      </c>
      <c r="L44" s="13" t="str">
        <f aca="false">IF(AND(D44="Chi tiết",F44&lt;=$G$4,G44&gt;=$F$4),"Có","")</f>
        <v/>
      </c>
      <c r="M44" s="16" t="n">
        <f aca="false">MAX($G$8:$G$92)-G44</f>
        <v>191</v>
      </c>
      <c r="N44" s="18" t="s">
        <v>165</v>
      </c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</row>
    <row r="45" customFormat="false" ht="16.5" hidden="false" customHeight="true" outlineLevel="0" collapsed="false">
      <c r="A45" s="13" t="n">
        <v>38</v>
      </c>
      <c r="B45" s="18" t="s">
        <v>161</v>
      </c>
      <c r="C45" s="52" t="s">
        <v>166</v>
      </c>
      <c r="D45" s="17" t="s">
        <v>122</v>
      </c>
      <c r="E45" s="42" t="n">
        <v>45</v>
      </c>
      <c r="F45" s="43" t="n">
        <v>46235</v>
      </c>
      <c r="G45" s="43" t="n">
        <v>46280</v>
      </c>
      <c r="H45" s="16" t="n">
        <f aca="false">G45-F45</f>
        <v>45</v>
      </c>
      <c r="I45" s="13" t="str">
        <f aca="false">IF(ABS(H45-E45)&lt;1,"OK","Lệch")</f>
        <v>OK</v>
      </c>
      <c r="J45" s="44" t="n">
        <f aca="false">MAX(0,MIN(1,($D$3-F45)/(G45-F45)))</f>
        <v>1</v>
      </c>
      <c r="K45" s="17" t="str">
        <f aca="false">IF($D$3&lt;F45,"Chưa bắt đầu",IF($D$3&gt;G45,"Đến hạn xong","Đang thi công"))</f>
        <v>Đến hạn xong</v>
      </c>
      <c r="L45" s="13" t="str">
        <f aca="false">IF(AND(D45="Chi tiết",F45&lt;=$G$4,G45&gt;=$F$4),"Có","")</f>
        <v/>
      </c>
      <c r="M45" s="16" t="n">
        <f aca="false">MAX($G$8:$G$92)-G45</f>
        <v>184</v>
      </c>
      <c r="N45" s="18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</row>
    <row r="46" customFormat="false" ht="16.5" hidden="false" customHeight="true" outlineLevel="0" collapsed="false">
      <c r="A46" s="29" t="n">
        <v>39</v>
      </c>
      <c r="B46" s="30" t="s">
        <v>161</v>
      </c>
      <c r="C46" s="51" t="s">
        <v>141</v>
      </c>
      <c r="D46" s="32" t="s">
        <v>116</v>
      </c>
      <c r="E46" s="33" t="n">
        <v>120</v>
      </c>
      <c r="F46" s="34" t="n">
        <v>46265</v>
      </c>
      <c r="G46" s="34" t="n">
        <v>46385</v>
      </c>
      <c r="H46" s="35" t="n">
        <f aca="false">G46-F46</f>
        <v>120</v>
      </c>
      <c r="I46" s="36" t="str">
        <f aca="false">IF(ABS(H46-E46)&lt;1,"OK","Lệch")</f>
        <v>OK</v>
      </c>
      <c r="J46" s="37" t="n">
        <f aca="false">MAX(0,MIN(1,($D$3-F46)/(G46-F46)))</f>
        <v>0.283333333333333</v>
      </c>
      <c r="K46" s="32" t="str">
        <f aca="false">IF($D$3&lt;F46,"Chưa bắt đầu",IF($D$3&gt;G46,"Đến hạn xong","Đang thi công"))</f>
        <v>Đang thi công</v>
      </c>
      <c r="L46" s="36" t="str">
        <f aca="false">IF(AND(D46="Chi tiết",F46&lt;=$G$4,G46&gt;=$F$4),"Có","")</f>
        <v/>
      </c>
      <c r="M46" s="35" t="n">
        <f aca="false">MAX($G$8:$G$92)-G46</f>
        <v>79</v>
      </c>
      <c r="N46" s="38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</row>
    <row r="47" customFormat="false" ht="25.5" hidden="false" customHeight="true" outlineLevel="0" collapsed="false">
      <c r="A47" s="13" t="n">
        <v>40</v>
      </c>
      <c r="B47" s="18" t="s">
        <v>161</v>
      </c>
      <c r="C47" s="52" t="s">
        <v>142</v>
      </c>
      <c r="D47" s="17" t="s">
        <v>122</v>
      </c>
      <c r="E47" s="42" t="n">
        <v>60</v>
      </c>
      <c r="F47" s="43" t="n">
        <v>46265</v>
      </c>
      <c r="G47" s="43" t="n">
        <v>46325</v>
      </c>
      <c r="H47" s="16" t="n">
        <f aca="false">G47-F47</f>
        <v>60</v>
      </c>
      <c r="I47" s="13" t="str">
        <f aca="false">IF(ABS(H47-E47)&lt;1,"OK","Lệch")</f>
        <v>OK</v>
      </c>
      <c r="J47" s="44" t="n">
        <f aca="false">MAX(0,MIN(1,($D$3-F47)/(G47-F47)))</f>
        <v>0.566666666666667</v>
      </c>
      <c r="K47" s="17" t="str">
        <f aca="false">IF($D$3&lt;F47,"Chưa bắt đầu",IF($D$3&gt;G47,"Đến hạn xong","Đang thi công"))</f>
        <v>Đang thi công</v>
      </c>
      <c r="L47" s="13" t="str">
        <f aca="false">IF(AND(D47="Chi tiết",F47&lt;=$G$4,G47&gt;=$F$4),"Có","")</f>
        <v/>
      </c>
      <c r="M47" s="16" t="n">
        <f aca="false">MAX($G$8:$G$92)-G47</f>
        <v>139</v>
      </c>
      <c r="N47" s="18" t="s">
        <v>167</v>
      </c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</row>
    <row r="48" customFormat="false" ht="16.5" hidden="false" customHeight="true" outlineLevel="0" collapsed="false">
      <c r="A48" s="13" t="n">
        <v>41</v>
      </c>
      <c r="B48" s="18" t="s">
        <v>161</v>
      </c>
      <c r="C48" s="52" t="s">
        <v>168</v>
      </c>
      <c r="D48" s="17" t="s">
        <v>122</v>
      </c>
      <c r="E48" s="42" t="n">
        <v>60</v>
      </c>
      <c r="F48" s="43" t="n">
        <v>46295</v>
      </c>
      <c r="G48" s="43" t="n">
        <v>46355</v>
      </c>
      <c r="H48" s="16" t="n">
        <f aca="false">G48-F48</f>
        <v>60</v>
      </c>
      <c r="I48" s="13" t="str">
        <f aca="false">IF(ABS(H48-E48)&lt;1,"OK","Lệch")</f>
        <v>OK</v>
      </c>
      <c r="J48" s="44" t="n">
        <f aca="false">MAX(0,MIN(1,($D$3-F48)/(G48-F48)))</f>
        <v>0.0666666666666667</v>
      </c>
      <c r="K48" s="17" t="str">
        <f aca="false">IF($D$3&lt;F48,"Chưa bắt đầu",IF($D$3&gt;G48,"Đến hạn xong","Đang thi công"))</f>
        <v>Đang thi công</v>
      </c>
      <c r="L48" s="13" t="str">
        <f aca="false">IF(AND(D48="Chi tiết",F48&lt;=$G$4,G48&gt;=$F$4),"Có","")</f>
        <v/>
      </c>
      <c r="M48" s="16" t="n">
        <f aca="false">MAX($G$8:$G$92)-G48</f>
        <v>109</v>
      </c>
      <c r="N48" s="18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</row>
    <row r="49" customFormat="false" ht="16.5" hidden="false" customHeight="true" outlineLevel="0" collapsed="false">
      <c r="A49" s="13" t="n">
        <v>42</v>
      </c>
      <c r="B49" s="18" t="s">
        <v>161</v>
      </c>
      <c r="C49" s="52" t="s">
        <v>169</v>
      </c>
      <c r="D49" s="17" t="s">
        <v>122</v>
      </c>
      <c r="E49" s="42" t="n">
        <v>60</v>
      </c>
      <c r="F49" s="43" t="n">
        <v>46325</v>
      </c>
      <c r="G49" s="43" t="n">
        <v>46385</v>
      </c>
      <c r="H49" s="16" t="n">
        <f aca="false">G49-F49</f>
        <v>60</v>
      </c>
      <c r="I49" s="13" t="str">
        <f aca="false">IF(ABS(H49-E49)&lt;1,"OK","Lệch")</f>
        <v>OK</v>
      </c>
      <c r="J49" s="44" t="n">
        <f aca="false">MAX(0,MIN(1,($D$3-F49)/(G49-F49)))</f>
        <v>0</v>
      </c>
      <c r="K49" s="17" t="str">
        <f aca="false">IF($D$3&lt;F49,"Chưa bắt đầu",IF($D$3&gt;G49,"Đến hạn xong","Đang thi công"))</f>
        <v>Chưa bắt đầu</v>
      </c>
      <c r="L49" s="13" t="str">
        <f aca="false">IF(AND(D49="Chi tiết",F49&lt;=$G$4,G49&gt;=$F$4),"Có","")</f>
        <v/>
      </c>
      <c r="M49" s="16" t="n">
        <f aca="false">MAX($G$8:$G$92)-G49</f>
        <v>79</v>
      </c>
      <c r="N49" s="18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</row>
    <row r="50" customFormat="false" ht="16.5" hidden="false" customHeight="true" outlineLevel="0" collapsed="false">
      <c r="A50" s="29" t="n">
        <v>43</v>
      </c>
      <c r="B50" s="30" t="s">
        <v>161</v>
      </c>
      <c r="C50" s="51" t="s">
        <v>170</v>
      </c>
      <c r="D50" s="32" t="s">
        <v>116</v>
      </c>
      <c r="E50" s="33" t="n">
        <v>100</v>
      </c>
      <c r="F50" s="34" t="n">
        <v>46272</v>
      </c>
      <c r="G50" s="34" t="n">
        <v>46372</v>
      </c>
      <c r="H50" s="35" t="n">
        <f aca="false">G50-F50</f>
        <v>100</v>
      </c>
      <c r="I50" s="36" t="str">
        <f aca="false">IF(ABS(H50-E50)&lt;1,"OK","Lệch")</f>
        <v>OK</v>
      </c>
      <c r="J50" s="37" t="n">
        <f aca="false">MAX(0,MIN(1,($D$3-F50)/(G50-F50)))</f>
        <v>0.27</v>
      </c>
      <c r="K50" s="32" t="str">
        <f aca="false">IF($D$3&lt;F50,"Chưa bắt đầu",IF($D$3&gt;G50,"Đến hạn xong","Đang thi công"))</f>
        <v>Đang thi công</v>
      </c>
      <c r="L50" s="36" t="str">
        <f aca="false">IF(AND(D50="Chi tiết",F50&lt;=$G$4,G50&gt;=$F$4),"Có","")</f>
        <v/>
      </c>
      <c r="M50" s="35" t="n">
        <f aca="false">MAX($G$8:$G$92)-G50</f>
        <v>92</v>
      </c>
      <c r="N50" s="38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</row>
    <row r="51" customFormat="false" ht="25.5" hidden="false" customHeight="true" outlineLevel="0" collapsed="false">
      <c r="A51" s="13" t="n">
        <v>44</v>
      </c>
      <c r="B51" s="18" t="s">
        <v>161</v>
      </c>
      <c r="C51" s="52" t="s">
        <v>171</v>
      </c>
      <c r="D51" s="17" t="s">
        <v>122</v>
      </c>
      <c r="E51" s="42" t="n">
        <v>50</v>
      </c>
      <c r="F51" s="43" t="n">
        <v>46272</v>
      </c>
      <c r="G51" s="43" t="n">
        <v>46322</v>
      </c>
      <c r="H51" s="16" t="n">
        <f aca="false">G51-F51</f>
        <v>50</v>
      </c>
      <c r="I51" s="13" t="str">
        <f aca="false">IF(ABS(H51-E51)&lt;1,"OK","Lệch")</f>
        <v>OK</v>
      </c>
      <c r="J51" s="44" t="n">
        <f aca="false">MAX(0,MIN(1,($D$3-F51)/(G51-F51)))</f>
        <v>0.54</v>
      </c>
      <c r="K51" s="17" t="str">
        <f aca="false">IF($D$3&lt;F51,"Chưa bắt đầu",IF($D$3&gt;G51,"Đến hạn xong","Đang thi công"))</f>
        <v>Đang thi công</v>
      </c>
      <c r="L51" s="13" t="str">
        <f aca="false">IF(AND(D51="Chi tiết",F51&lt;=$G$4,G51&gt;=$F$4),"Có","")</f>
        <v/>
      </c>
      <c r="M51" s="16" t="n">
        <f aca="false">MAX($G$8:$G$92)-G51</f>
        <v>142</v>
      </c>
      <c r="N51" s="18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</row>
    <row r="52" customFormat="false" ht="25.5" hidden="false" customHeight="true" outlineLevel="0" collapsed="false">
      <c r="A52" s="29" t="n">
        <v>45</v>
      </c>
      <c r="B52" s="30" t="s">
        <v>161</v>
      </c>
      <c r="C52" s="53" t="s">
        <v>172</v>
      </c>
      <c r="D52" s="32" t="s">
        <v>116</v>
      </c>
      <c r="E52" s="33" t="n">
        <v>90</v>
      </c>
      <c r="F52" s="34" t="n">
        <v>46282</v>
      </c>
      <c r="G52" s="34" t="n">
        <v>46372</v>
      </c>
      <c r="H52" s="35" t="n">
        <f aca="false">G52-F52</f>
        <v>90</v>
      </c>
      <c r="I52" s="36" t="str">
        <f aca="false">IF(ABS(H52-E52)&lt;1,"OK","Lệch")</f>
        <v>OK</v>
      </c>
      <c r="J52" s="37" t="n">
        <f aca="false">MAX(0,MIN(1,($D$3-F52)/(G52-F52)))</f>
        <v>0.188888888888889</v>
      </c>
      <c r="K52" s="32" t="str">
        <f aca="false">IF($D$3&lt;F52,"Chưa bắt đầu",IF($D$3&gt;G52,"Đến hạn xong","Đang thi công"))</f>
        <v>Đang thi công</v>
      </c>
      <c r="L52" s="36" t="str">
        <f aca="false">IF(AND(D52="Chi tiết",F52&lt;=$G$4,G52&gt;=$F$4),"Có","")</f>
        <v/>
      </c>
      <c r="M52" s="35" t="n">
        <f aca="false">MAX($G$8:$G$92)-G52</f>
        <v>92</v>
      </c>
      <c r="N52" s="38" t="s">
        <v>173</v>
      </c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</row>
    <row r="53" customFormat="false" ht="16.5" hidden="false" customHeight="true" outlineLevel="0" collapsed="false">
      <c r="A53" s="13" t="n">
        <v>46</v>
      </c>
      <c r="B53" s="18" t="s">
        <v>161</v>
      </c>
      <c r="C53" s="54" t="s">
        <v>174</v>
      </c>
      <c r="D53" s="17" t="s">
        <v>122</v>
      </c>
      <c r="E53" s="42" t="n">
        <v>30</v>
      </c>
      <c r="F53" s="43" t="n">
        <v>46282</v>
      </c>
      <c r="G53" s="43" t="n">
        <v>46312</v>
      </c>
      <c r="H53" s="16" t="n">
        <f aca="false">G53-F53</f>
        <v>30</v>
      </c>
      <c r="I53" s="13" t="str">
        <f aca="false">IF(ABS(H53-E53)&lt;1,"OK","Lệch")</f>
        <v>OK</v>
      </c>
      <c r="J53" s="44" t="n">
        <f aca="false">MAX(0,MIN(1,($D$3-F53)/(G53-F53)))</f>
        <v>0.566666666666667</v>
      </c>
      <c r="K53" s="17" t="str">
        <f aca="false">IF($D$3&lt;F53,"Chưa bắt đầu",IF($D$3&gt;G53,"Đến hạn xong","Đang thi công"))</f>
        <v>Đang thi công</v>
      </c>
      <c r="L53" s="13" t="str">
        <f aca="false">IF(AND(D53="Chi tiết",F53&lt;=$G$4,G53&gt;=$F$4),"Có","")</f>
        <v/>
      </c>
      <c r="M53" s="16" t="n">
        <f aca="false">MAX($G$8:$G$92)-G53</f>
        <v>152</v>
      </c>
      <c r="N53" s="18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</row>
    <row r="54" customFormat="false" ht="16.5" hidden="false" customHeight="true" outlineLevel="0" collapsed="false">
      <c r="A54" s="13" t="n">
        <v>47</v>
      </c>
      <c r="B54" s="18" t="s">
        <v>161</v>
      </c>
      <c r="C54" s="54" t="s">
        <v>175</v>
      </c>
      <c r="D54" s="17" t="s">
        <v>122</v>
      </c>
      <c r="E54" s="42" t="n">
        <v>30</v>
      </c>
      <c r="F54" s="43" t="n">
        <v>46312</v>
      </c>
      <c r="G54" s="43" t="n">
        <v>46342</v>
      </c>
      <c r="H54" s="16" t="n">
        <f aca="false">G54-F54</f>
        <v>30</v>
      </c>
      <c r="I54" s="13" t="str">
        <f aca="false">IF(ABS(H54-E54)&lt;1,"OK","Lệch")</f>
        <v>OK</v>
      </c>
      <c r="J54" s="44" t="n">
        <f aca="false">MAX(0,MIN(1,($D$3-F54)/(G54-F54)))</f>
        <v>0</v>
      </c>
      <c r="K54" s="17" t="str">
        <f aca="false">IF($D$3&lt;F54,"Chưa bắt đầu",IF($D$3&gt;G54,"Đến hạn xong","Đang thi công"))</f>
        <v>Chưa bắt đầu</v>
      </c>
      <c r="L54" s="13" t="str">
        <f aca="false">IF(AND(D54="Chi tiết",F54&lt;=$G$4,G54&gt;=$F$4),"Có","")</f>
        <v/>
      </c>
      <c r="M54" s="16" t="n">
        <f aca="false">MAX($G$8:$G$92)-G54</f>
        <v>122</v>
      </c>
      <c r="N54" s="18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</row>
    <row r="55" customFormat="false" ht="16.5" hidden="false" customHeight="true" outlineLevel="0" collapsed="false">
      <c r="A55" s="13" t="n">
        <v>48</v>
      </c>
      <c r="B55" s="18" t="s">
        <v>161</v>
      </c>
      <c r="C55" s="54" t="s">
        <v>176</v>
      </c>
      <c r="D55" s="17" t="s">
        <v>122</v>
      </c>
      <c r="E55" s="42" t="n">
        <v>30</v>
      </c>
      <c r="F55" s="43" t="n">
        <v>46342</v>
      </c>
      <c r="G55" s="43" t="n">
        <v>46372</v>
      </c>
      <c r="H55" s="16" t="n">
        <f aca="false">G55-F55</f>
        <v>30</v>
      </c>
      <c r="I55" s="13" t="str">
        <f aca="false">IF(ABS(H55-E55)&lt;1,"OK","Lệch")</f>
        <v>OK</v>
      </c>
      <c r="J55" s="44" t="n">
        <f aca="false">MAX(0,MIN(1,($D$3-F55)/(G55-F55)))</f>
        <v>0</v>
      </c>
      <c r="K55" s="17" t="str">
        <f aca="false">IF($D$3&lt;F55,"Chưa bắt đầu",IF($D$3&gt;G55,"Đến hạn xong","Đang thi công"))</f>
        <v>Chưa bắt đầu</v>
      </c>
      <c r="L55" s="13" t="str">
        <f aca="false">IF(AND(D55="Chi tiết",F55&lt;=$G$4,G55&gt;=$F$4),"Có","")</f>
        <v/>
      </c>
      <c r="M55" s="16" t="n">
        <f aca="false">MAX($G$8:$G$92)-G55</f>
        <v>92</v>
      </c>
      <c r="N55" s="18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</row>
    <row r="56" customFormat="false" ht="16.5" hidden="false" customHeight="true" outlineLevel="0" collapsed="false">
      <c r="A56" s="29" t="n">
        <v>49</v>
      </c>
      <c r="B56" s="30" t="s">
        <v>161</v>
      </c>
      <c r="C56" s="48" t="s">
        <v>144</v>
      </c>
      <c r="D56" s="32" t="s">
        <v>116</v>
      </c>
      <c r="E56" s="33" t="n">
        <v>90</v>
      </c>
      <c r="F56" s="34" t="n">
        <v>46305</v>
      </c>
      <c r="G56" s="34" t="n">
        <v>46395</v>
      </c>
      <c r="H56" s="35" t="n">
        <f aca="false">G56-F56</f>
        <v>90</v>
      </c>
      <c r="I56" s="36" t="str">
        <f aca="false">IF(ABS(H56-E56)&lt;1,"OK","Lệch")</f>
        <v>OK</v>
      </c>
      <c r="J56" s="37" t="n">
        <f aca="false">MAX(0,MIN(1,($D$3-F56)/(G56-F56)))</f>
        <v>0</v>
      </c>
      <c r="K56" s="32" t="str">
        <f aca="false">IF($D$3&lt;F56,"Chưa bắt đầu",IF($D$3&gt;G56,"Đến hạn xong","Đang thi công"))</f>
        <v>Chưa bắt đầu</v>
      </c>
      <c r="L56" s="36" t="str">
        <f aca="false">IF(AND(D56="Chi tiết",F56&lt;=$G$4,G56&gt;=$F$4),"Có","")</f>
        <v/>
      </c>
      <c r="M56" s="35" t="n">
        <f aca="false">MAX($G$8:$G$92)-G56</f>
        <v>69</v>
      </c>
      <c r="N56" s="38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</row>
    <row r="57" customFormat="false" ht="16.5" hidden="false" customHeight="true" outlineLevel="0" collapsed="false">
      <c r="A57" s="13" t="n">
        <v>50</v>
      </c>
      <c r="B57" s="18" t="s">
        <v>161</v>
      </c>
      <c r="C57" s="49" t="s">
        <v>145</v>
      </c>
      <c r="D57" s="17" t="s">
        <v>122</v>
      </c>
      <c r="E57" s="42" t="n">
        <v>80</v>
      </c>
      <c r="F57" s="43" t="n">
        <v>46305</v>
      </c>
      <c r="G57" s="43" t="n">
        <v>46385</v>
      </c>
      <c r="H57" s="16" t="n">
        <f aca="false">G57-F57</f>
        <v>80</v>
      </c>
      <c r="I57" s="13" t="str">
        <f aca="false">IF(ABS(H57-E57)&lt;1,"OK","Lệch")</f>
        <v>OK</v>
      </c>
      <c r="J57" s="44" t="n">
        <f aca="false">MAX(0,MIN(1,($D$3-F57)/(G57-F57)))</f>
        <v>0</v>
      </c>
      <c r="K57" s="17" t="str">
        <f aca="false">IF($D$3&lt;F57,"Chưa bắt đầu",IF($D$3&gt;G57,"Đến hạn xong","Đang thi công"))</f>
        <v>Chưa bắt đầu</v>
      </c>
      <c r="L57" s="13" t="str">
        <f aca="false">IF(AND(D57="Chi tiết",F57&lt;=$G$4,G57&gt;=$F$4),"Có","")</f>
        <v/>
      </c>
      <c r="M57" s="16" t="n">
        <f aca="false">MAX($G$8:$G$92)-G57</f>
        <v>79</v>
      </c>
      <c r="N57" s="18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</row>
    <row r="58" customFormat="false" ht="16.5" hidden="false" customHeight="true" outlineLevel="0" collapsed="false">
      <c r="A58" s="13" t="n">
        <v>51</v>
      </c>
      <c r="B58" s="18" t="s">
        <v>161</v>
      </c>
      <c r="C58" s="49" t="s">
        <v>146</v>
      </c>
      <c r="D58" s="17" t="s">
        <v>122</v>
      </c>
      <c r="E58" s="42" t="n">
        <v>10</v>
      </c>
      <c r="F58" s="43" t="n">
        <v>46385</v>
      </c>
      <c r="G58" s="43" t="n">
        <v>46395</v>
      </c>
      <c r="H58" s="16" t="n">
        <f aca="false">G58-F58</f>
        <v>10</v>
      </c>
      <c r="I58" s="13" t="str">
        <f aca="false">IF(ABS(H58-E58)&lt;1,"OK","Lệch")</f>
        <v>OK</v>
      </c>
      <c r="J58" s="44" t="n">
        <f aca="false">MAX(0,MIN(1,($D$3-F58)/(G58-F58)))</f>
        <v>0</v>
      </c>
      <c r="K58" s="17" t="str">
        <f aca="false">IF($D$3&lt;F58,"Chưa bắt đầu",IF($D$3&gt;G58,"Đến hạn xong","Đang thi công"))</f>
        <v>Chưa bắt đầu</v>
      </c>
      <c r="L58" s="13" t="str">
        <f aca="false">IF(AND(D58="Chi tiết",F58&lt;=$G$4,G58&gt;=$F$4),"Có","")</f>
        <v/>
      </c>
      <c r="M58" s="16" t="n">
        <f aca="false">MAX($G$8:$G$92)-G58</f>
        <v>69</v>
      </c>
      <c r="N58" s="18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</row>
    <row r="59" customFormat="false" ht="25.5" hidden="false" customHeight="true" outlineLevel="0" collapsed="false">
      <c r="A59" s="29" t="n">
        <v>52</v>
      </c>
      <c r="B59" s="30" t="s">
        <v>161</v>
      </c>
      <c r="C59" s="48" t="s">
        <v>147</v>
      </c>
      <c r="D59" s="32" t="s">
        <v>116</v>
      </c>
      <c r="E59" s="33" t="n">
        <v>64</v>
      </c>
      <c r="F59" s="34" t="n">
        <v>46194</v>
      </c>
      <c r="G59" s="34" t="n">
        <v>46258</v>
      </c>
      <c r="H59" s="35" t="n">
        <f aca="false">G59-F59</f>
        <v>64</v>
      </c>
      <c r="I59" s="36" t="str">
        <f aca="false">IF(ABS(H59-E59)&lt;1,"OK","Lệch")</f>
        <v>OK</v>
      </c>
      <c r="J59" s="37" t="n">
        <f aca="false">MAX(0,MIN(1,($D$3-F59)/(G59-F59)))</f>
        <v>1</v>
      </c>
      <c r="K59" s="32" t="str">
        <f aca="false">IF($D$3&lt;F59,"Chưa bắt đầu",IF($D$3&gt;G59,"Đến hạn xong","Đang thi công"))</f>
        <v>Đến hạn xong</v>
      </c>
      <c r="L59" s="36" t="str">
        <f aca="false">IF(AND(D59="Chi tiết",F59&lt;=$G$4,G59&gt;=$F$4),"Có","")</f>
        <v/>
      </c>
      <c r="M59" s="35" t="n">
        <f aca="false">MAX($G$8:$G$92)-G59</f>
        <v>206</v>
      </c>
      <c r="N59" s="38" t="s">
        <v>177</v>
      </c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</row>
    <row r="60" customFormat="false" ht="16.5" hidden="false" customHeight="true" outlineLevel="0" collapsed="false">
      <c r="A60" s="13" t="n">
        <v>53</v>
      </c>
      <c r="B60" s="18" t="s">
        <v>161</v>
      </c>
      <c r="C60" s="49" t="s">
        <v>178</v>
      </c>
      <c r="D60" s="17" t="s">
        <v>122</v>
      </c>
      <c r="E60" s="42" t="n">
        <v>50</v>
      </c>
      <c r="F60" s="43" t="n">
        <v>46194</v>
      </c>
      <c r="G60" s="43" t="n">
        <v>46244</v>
      </c>
      <c r="H60" s="16" t="n">
        <f aca="false">G60-F60</f>
        <v>50</v>
      </c>
      <c r="I60" s="13" t="str">
        <f aca="false">IF(ABS(H60-E60)&lt;1,"OK","Lệch")</f>
        <v>OK</v>
      </c>
      <c r="J60" s="44" t="n">
        <f aca="false">MAX(0,MIN(1,($D$3-F60)/(G60-F60)))</f>
        <v>1</v>
      </c>
      <c r="K60" s="17" t="str">
        <f aca="false">IF($D$3&lt;F60,"Chưa bắt đầu",IF($D$3&gt;G60,"Đến hạn xong","Đang thi công"))</f>
        <v>Đến hạn xong</v>
      </c>
      <c r="L60" s="13" t="str">
        <f aca="false">IF(AND(D60="Chi tiết",F60&lt;=$G$4,G60&gt;=$F$4),"Có","")</f>
        <v/>
      </c>
      <c r="M60" s="16" t="n">
        <f aca="false">MAX($G$8:$G$92)-G60</f>
        <v>220</v>
      </c>
      <c r="N60" s="18" t="s">
        <v>179</v>
      </c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</row>
    <row r="61" customFormat="false" ht="16.5" hidden="false" customHeight="true" outlineLevel="0" collapsed="false">
      <c r="A61" s="13" t="n">
        <v>54</v>
      </c>
      <c r="B61" s="18" t="s">
        <v>161</v>
      </c>
      <c r="C61" s="49" t="s">
        <v>180</v>
      </c>
      <c r="D61" s="17" t="s">
        <v>122</v>
      </c>
      <c r="E61" s="42" t="n">
        <v>30</v>
      </c>
      <c r="F61" s="43" t="n">
        <v>46204</v>
      </c>
      <c r="G61" s="43" t="n">
        <v>46234</v>
      </c>
      <c r="H61" s="16" t="n">
        <f aca="false">G61-F61</f>
        <v>30</v>
      </c>
      <c r="I61" s="13" t="str">
        <f aca="false">IF(ABS(H61-E61)&lt;1,"OK","Lệch")</f>
        <v>OK</v>
      </c>
      <c r="J61" s="44" t="n">
        <f aca="false">MAX(0,MIN(1,($D$3-F61)/(G61-F61)))</f>
        <v>1</v>
      </c>
      <c r="K61" s="17" t="str">
        <f aca="false">IF($D$3&lt;F61,"Chưa bắt đầu",IF($D$3&gt;G61,"Đến hạn xong","Đang thi công"))</f>
        <v>Đến hạn xong</v>
      </c>
      <c r="L61" s="13" t="str">
        <f aca="false">IF(AND(D61="Chi tiết",F61&lt;=$G$4,G61&gt;=$F$4),"Có","")</f>
        <v/>
      </c>
      <c r="M61" s="16" t="n">
        <f aca="false">MAX($G$8:$G$92)-G61</f>
        <v>230</v>
      </c>
      <c r="N61" s="18" t="s">
        <v>179</v>
      </c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</row>
    <row r="62" customFormat="false" ht="16.5" hidden="false" customHeight="true" outlineLevel="0" collapsed="false">
      <c r="A62" s="13" t="n">
        <v>55</v>
      </c>
      <c r="B62" s="18" t="s">
        <v>161</v>
      </c>
      <c r="C62" s="49" t="s">
        <v>181</v>
      </c>
      <c r="D62" s="17" t="s">
        <v>122</v>
      </c>
      <c r="E62" s="42" t="n">
        <v>30</v>
      </c>
      <c r="F62" s="43" t="n">
        <v>46224</v>
      </c>
      <c r="G62" s="43" t="n">
        <v>46254</v>
      </c>
      <c r="H62" s="16" t="n">
        <f aca="false">G62-F62</f>
        <v>30</v>
      </c>
      <c r="I62" s="13" t="str">
        <f aca="false">IF(ABS(H62-E62)&lt;1,"OK","Lệch")</f>
        <v>OK</v>
      </c>
      <c r="J62" s="44" t="n">
        <f aca="false">MAX(0,MIN(1,($D$3-F62)/(G62-F62)))</f>
        <v>1</v>
      </c>
      <c r="K62" s="17" t="str">
        <f aca="false">IF($D$3&lt;F62,"Chưa bắt đầu",IF($D$3&gt;G62,"Đến hạn xong","Đang thi công"))</f>
        <v>Đến hạn xong</v>
      </c>
      <c r="L62" s="13" t="str">
        <f aca="false">IF(AND(D62="Chi tiết",F62&lt;=$G$4,G62&gt;=$F$4),"Có","")</f>
        <v/>
      </c>
      <c r="M62" s="16" t="n">
        <f aca="false">MAX($G$8:$G$92)-G62</f>
        <v>210</v>
      </c>
      <c r="N62" s="18" t="s">
        <v>179</v>
      </c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</row>
    <row r="63" customFormat="false" ht="16.5" hidden="false" customHeight="true" outlineLevel="0" collapsed="false">
      <c r="A63" s="13" t="n">
        <v>56</v>
      </c>
      <c r="B63" s="18" t="s">
        <v>161</v>
      </c>
      <c r="C63" s="49" t="s">
        <v>182</v>
      </c>
      <c r="D63" s="17" t="s">
        <v>122</v>
      </c>
      <c r="E63" s="42" t="n">
        <v>34</v>
      </c>
      <c r="F63" s="43" t="n">
        <v>46224</v>
      </c>
      <c r="G63" s="43" t="n">
        <v>46258</v>
      </c>
      <c r="H63" s="16" t="n">
        <f aca="false">G63-F63</f>
        <v>34</v>
      </c>
      <c r="I63" s="13" t="str">
        <f aca="false">IF(ABS(H63-E63)&lt;1,"OK","Lệch")</f>
        <v>OK</v>
      </c>
      <c r="J63" s="44" t="n">
        <f aca="false">MAX(0,MIN(1,($D$3-F63)/(G63-F63)))</f>
        <v>1</v>
      </c>
      <c r="K63" s="17" t="str">
        <f aca="false">IF($D$3&lt;F63,"Chưa bắt đầu",IF($D$3&gt;G63,"Đến hạn xong","Đang thi công"))</f>
        <v>Đến hạn xong</v>
      </c>
      <c r="L63" s="13" t="str">
        <f aca="false">IF(AND(D63="Chi tiết",F63&lt;=$G$4,G63&gt;=$F$4),"Có","")</f>
        <v/>
      </c>
      <c r="M63" s="16" t="n">
        <f aca="false">MAX($G$8:$G$92)-G63</f>
        <v>206</v>
      </c>
      <c r="N63" s="18" t="s">
        <v>179</v>
      </c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</row>
    <row r="64" customFormat="false" ht="16.5" hidden="false" customHeight="true" outlineLevel="0" collapsed="false">
      <c r="A64" s="29" t="n">
        <v>57</v>
      </c>
      <c r="B64" s="30" t="s">
        <v>183</v>
      </c>
      <c r="C64" s="47" t="s">
        <v>184</v>
      </c>
      <c r="D64" s="32" t="s">
        <v>116</v>
      </c>
      <c r="E64" s="33" t="n">
        <v>62</v>
      </c>
      <c r="F64" s="34" t="n">
        <v>46282</v>
      </c>
      <c r="G64" s="34" t="n">
        <v>46344</v>
      </c>
      <c r="H64" s="35" t="n">
        <f aca="false">G64-F64</f>
        <v>62</v>
      </c>
      <c r="I64" s="36" t="str">
        <f aca="false">IF(ABS(H64-E64)&lt;1,"OK","Lệch")</f>
        <v>OK</v>
      </c>
      <c r="J64" s="37" t="n">
        <f aca="false">MAX(0,MIN(1,($D$3-F64)/(G64-F64)))</f>
        <v>0.274193548387097</v>
      </c>
      <c r="K64" s="32" t="str">
        <f aca="false">IF($D$3&lt;F64,"Chưa bắt đầu",IF($D$3&gt;G64,"Đến hạn xong","Đang thi công"))</f>
        <v>Đang thi công</v>
      </c>
      <c r="L64" s="36" t="str">
        <f aca="false">IF(AND(D64="Chi tiết",F64&lt;=$G$4,G64&gt;=$F$4),"Có","")</f>
        <v/>
      </c>
      <c r="M64" s="35" t="n">
        <f aca="false">MAX($G$8:$G$92)-G64</f>
        <v>120</v>
      </c>
      <c r="N64" s="38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</row>
    <row r="65" customFormat="false" ht="16.5" hidden="false" customHeight="true" outlineLevel="0" collapsed="false">
      <c r="A65" s="29" t="n">
        <v>58</v>
      </c>
      <c r="B65" s="30" t="s">
        <v>183</v>
      </c>
      <c r="C65" s="48" t="s">
        <v>136</v>
      </c>
      <c r="D65" s="32" t="s">
        <v>116</v>
      </c>
      <c r="E65" s="33" t="n">
        <v>40</v>
      </c>
      <c r="F65" s="34" t="n">
        <v>46282</v>
      </c>
      <c r="G65" s="34" t="n">
        <v>46322</v>
      </c>
      <c r="H65" s="35" t="n">
        <f aca="false">G65-F65</f>
        <v>40</v>
      </c>
      <c r="I65" s="36" t="str">
        <f aca="false">IF(ABS(H65-E65)&lt;1,"OK","Lệch")</f>
        <v>OK</v>
      </c>
      <c r="J65" s="37" t="n">
        <f aca="false">MAX(0,MIN(1,($D$3-F65)/(G65-F65)))</f>
        <v>0.425</v>
      </c>
      <c r="K65" s="32" t="str">
        <f aca="false">IF($D$3&lt;F65,"Chưa bắt đầu",IF($D$3&gt;G65,"Đến hạn xong","Đang thi công"))</f>
        <v>Đang thi công</v>
      </c>
      <c r="L65" s="36" t="str">
        <f aca="false">IF(AND(D65="Chi tiết",F65&lt;=$G$4,G65&gt;=$F$4),"Có","")</f>
        <v/>
      </c>
      <c r="M65" s="35" t="n">
        <f aca="false">MAX($G$8:$G$92)-G65</f>
        <v>142</v>
      </c>
      <c r="N65" s="38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</row>
    <row r="66" customFormat="false" ht="16.5" hidden="false" customHeight="true" outlineLevel="0" collapsed="false">
      <c r="A66" s="29" t="n">
        <v>59</v>
      </c>
      <c r="B66" s="30" t="s">
        <v>183</v>
      </c>
      <c r="C66" s="51" t="s">
        <v>163</v>
      </c>
      <c r="D66" s="32" t="s">
        <v>116</v>
      </c>
      <c r="E66" s="33" t="n">
        <v>20</v>
      </c>
      <c r="F66" s="34" t="n">
        <v>46288</v>
      </c>
      <c r="G66" s="34" t="n">
        <v>46308</v>
      </c>
      <c r="H66" s="35" t="n">
        <f aca="false">G66-F66</f>
        <v>20</v>
      </c>
      <c r="I66" s="36" t="str">
        <f aca="false">IF(ABS(H66-E66)&lt;1,"OK","Lệch")</f>
        <v>OK</v>
      </c>
      <c r="J66" s="37" t="n">
        <f aca="false">MAX(0,MIN(1,($D$3-F66)/(G66-F66)))</f>
        <v>0.55</v>
      </c>
      <c r="K66" s="32" t="str">
        <f aca="false">IF($D$3&lt;F66,"Chưa bắt đầu",IF($D$3&gt;G66,"Đến hạn xong","Đang thi công"))</f>
        <v>Đang thi công</v>
      </c>
      <c r="L66" s="36" t="str">
        <f aca="false">IF(AND(D66="Chi tiết",F66&lt;=$G$4,G66&gt;=$F$4),"Có","")</f>
        <v/>
      </c>
      <c r="M66" s="35" t="n">
        <f aca="false">MAX($G$8:$G$92)-G66</f>
        <v>156</v>
      </c>
      <c r="N66" s="38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</row>
    <row r="67" customFormat="false" ht="16.5" hidden="false" customHeight="true" outlineLevel="0" collapsed="false">
      <c r="A67" s="13" t="n">
        <v>60</v>
      </c>
      <c r="B67" s="18" t="s">
        <v>183</v>
      </c>
      <c r="C67" s="52" t="s">
        <v>164</v>
      </c>
      <c r="D67" s="17" t="s">
        <v>122</v>
      </c>
      <c r="E67" s="42" t="n">
        <v>20</v>
      </c>
      <c r="F67" s="43" t="n">
        <v>46288</v>
      </c>
      <c r="G67" s="43" t="n">
        <v>46308</v>
      </c>
      <c r="H67" s="16" t="n">
        <f aca="false">G67-F67</f>
        <v>20</v>
      </c>
      <c r="I67" s="13" t="str">
        <f aca="false">IF(ABS(H67-E67)&lt;1,"OK","Lệch")</f>
        <v>OK</v>
      </c>
      <c r="J67" s="44" t="n">
        <f aca="false">MAX(0,MIN(1,($D$3-F67)/(G67-F67)))</f>
        <v>0.55</v>
      </c>
      <c r="K67" s="17" t="str">
        <f aca="false">IF($D$3&lt;F67,"Chưa bắt đầu",IF($D$3&gt;G67,"Đến hạn xong","Đang thi công"))</f>
        <v>Đang thi công</v>
      </c>
      <c r="L67" s="13" t="str">
        <f aca="false">IF(AND(D67="Chi tiết",F67&lt;=$G$4,G67&gt;=$F$4),"Có","")</f>
        <v/>
      </c>
      <c r="M67" s="16" t="n">
        <f aca="false">MAX($G$8:$G$92)-G67</f>
        <v>156</v>
      </c>
      <c r="N67" s="18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</row>
    <row r="68" customFormat="false" ht="16.5" hidden="false" customHeight="true" outlineLevel="0" collapsed="false">
      <c r="A68" s="13" t="n">
        <v>61</v>
      </c>
      <c r="B68" s="18" t="s">
        <v>183</v>
      </c>
      <c r="C68" s="52" t="s">
        <v>166</v>
      </c>
      <c r="D68" s="17" t="s">
        <v>122</v>
      </c>
      <c r="E68" s="42" t="n">
        <v>10</v>
      </c>
      <c r="F68" s="43" t="n">
        <v>46295</v>
      </c>
      <c r="G68" s="43" t="n">
        <v>46305</v>
      </c>
      <c r="H68" s="16" t="n">
        <f aca="false">G68-F68</f>
        <v>10</v>
      </c>
      <c r="I68" s="13" t="str">
        <f aca="false">IF(ABS(H68-E68)&lt;1,"OK","Lệch")</f>
        <v>OK</v>
      </c>
      <c r="J68" s="44" t="n">
        <f aca="false">MAX(0,MIN(1,($D$3-F68)/(G68-F68)))</f>
        <v>0.4</v>
      </c>
      <c r="K68" s="17" t="str">
        <f aca="false">IF($D$3&lt;F68,"Chưa bắt đầu",IF($D$3&gt;G68,"Đến hạn xong","Đang thi công"))</f>
        <v>Đang thi công</v>
      </c>
      <c r="L68" s="13" t="str">
        <f aca="false">IF(AND(D68="Chi tiết",F68&lt;=$G$4,G68&gt;=$F$4),"Có","")</f>
        <v/>
      </c>
      <c r="M68" s="16" t="n">
        <f aca="false">MAX($G$8:$G$92)-G68</f>
        <v>159</v>
      </c>
      <c r="N68" s="18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</row>
    <row r="69" customFormat="false" ht="16.5" hidden="false" customHeight="true" outlineLevel="0" collapsed="false">
      <c r="A69" s="29" t="n">
        <v>62</v>
      </c>
      <c r="B69" s="30" t="s">
        <v>183</v>
      </c>
      <c r="C69" s="51" t="s">
        <v>141</v>
      </c>
      <c r="D69" s="32" t="s">
        <v>116</v>
      </c>
      <c r="E69" s="33" t="n">
        <v>40</v>
      </c>
      <c r="F69" s="34" t="n">
        <v>46282</v>
      </c>
      <c r="G69" s="34" t="n">
        <v>46322</v>
      </c>
      <c r="H69" s="35" t="n">
        <f aca="false">G69-F69</f>
        <v>40</v>
      </c>
      <c r="I69" s="36" t="str">
        <f aca="false">IF(ABS(H69-E69)&lt;1,"OK","Lệch")</f>
        <v>OK</v>
      </c>
      <c r="J69" s="37" t="n">
        <f aca="false">MAX(0,MIN(1,($D$3-F69)/(G69-F69)))</f>
        <v>0.425</v>
      </c>
      <c r="K69" s="32" t="str">
        <f aca="false">IF($D$3&lt;F69,"Chưa bắt đầu",IF($D$3&gt;G69,"Đến hạn xong","Đang thi công"))</f>
        <v>Đang thi công</v>
      </c>
      <c r="L69" s="36" t="str">
        <f aca="false">IF(AND(D69="Chi tiết",F69&lt;=$G$4,G69&gt;=$F$4),"Có","")</f>
        <v/>
      </c>
      <c r="M69" s="35" t="n">
        <f aca="false">MAX($G$8:$G$92)-G69</f>
        <v>142</v>
      </c>
      <c r="N69" s="38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</row>
    <row r="70" customFormat="false" ht="16.5" hidden="false" customHeight="true" outlineLevel="0" collapsed="false">
      <c r="A70" s="13" t="n">
        <v>63</v>
      </c>
      <c r="B70" s="18" t="s">
        <v>183</v>
      </c>
      <c r="C70" s="52" t="s">
        <v>142</v>
      </c>
      <c r="D70" s="17" t="s">
        <v>122</v>
      </c>
      <c r="E70" s="42" t="n">
        <v>20</v>
      </c>
      <c r="F70" s="43" t="n">
        <v>46282</v>
      </c>
      <c r="G70" s="43" t="n">
        <v>46302</v>
      </c>
      <c r="H70" s="16" t="n">
        <f aca="false">G70-F70</f>
        <v>20</v>
      </c>
      <c r="I70" s="13" t="str">
        <f aca="false">IF(ABS(H70-E70)&lt;1,"OK","Lệch")</f>
        <v>OK</v>
      </c>
      <c r="J70" s="44" t="n">
        <f aca="false">MAX(0,MIN(1,($D$3-F70)/(G70-F70)))</f>
        <v>0.85</v>
      </c>
      <c r="K70" s="17" t="str">
        <f aca="false">IF($D$3&lt;F70,"Chưa bắt đầu",IF($D$3&gt;G70,"Đến hạn xong","Đang thi công"))</f>
        <v>Đang thi công</v>
      </c>
      <c r="L70" s="13" t="str">
        <f aca="false">IF(AND(D70="Chi tiết",F70&lt;=$G$4,G70&gt;=$F$4),"Có","")</f>
        <v/>
      </c>
      <c r="M70" s="16" t="n">
        <f aca="false">MAX($G$8:$G$92)-G70</f>
        <v>162</v>
      </c>
      <c r="N70" s="18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</row>
    <row r="71" customFormat="false" ht="16.5" hidden="false" customHeight="true" outlineLevel="0" collapsed="false">
      <c r="A71" s="13" t="n">
        <v>64</v>
      </c>
      <c r="B71" s="18" t="s">
        <v>183</v>
      </c>
      <c r="C71" s="52" t="s">
        <v>168</v>
      </c>
      <c r="D71" s="17" t="s">
        <v>122</v>
      </c>
      <c r="E71" s="42" t="n">
        <v>10</v>
      </c>
      <c r="F71" s="43" t="n">
        <v>46302</v>
      </c>
      <c r="G71" s="43" t="n">
        <v>46312</v>
      </c>
      <c r="H71" s="16" t="n">
        <f aca="false">G71-F71</f>
        <v>10</v>
      </c>
      <c r="I71" s="13" t="str">
        <f aca="false">IF(ABS(H71-E71)&lt;1,"OK","Lệch")</f>
        <v>OK</v>
      </c>
      <c r="J71" s="44" t="n">
        <f aca="false">MAX(0,MIN(1,($D$3-F71)/(G71-F71)))</f>
        <v>0</v>
      </c>
      <c r="K71" s="17" t="str">
        <f aca="false">IF($D$3&lt;F71,"Chưa bắt đầu",IF($D$3&gt;G71,"Đến hạn xong","Đang thi công"))</f>
        <v>Chưa bắt đầu</v>
      </c>
      <c r="L71" s="13" t="str">
        <f aca="false">IF(AND(D71="Chi tiết",F71&lt;=$G$4,G71&gt;=$F$4),"Có","")</f>
        <v/>
      </c>
      <c r="M71" s="16" t="n">
        <f aca="false">MAX($G$8:$G$92)-G71</f>
        <v>152</v>
      </c>
      <c r="N71" s="18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</row>
    <row r="72" customFormat="false" ht="16.5" hidden="false" customHeight="true" outlineLevel="0" collapsed="false">
      <c r="A72" s="13" t="n">
        <v>65</v>
      </c>
      <c r="B72" s="18" t="s">
        <v>183</v>
      </c>
      <c r="C72" s="52" t="s">
        <v>169</v>
      </c>
      <c r="D72" s="17" t="s">
        <v>122</v>
      </c>
      <c r="E72" s="42" t="n">
        <v>10</v>
      </c>
      <c r="F72" s="43" t="n">
        <v>46312</v>
      </c>
      <c r="G72" s="43" t="n">
        <v>46322</v>
      </c>
      <c r="H72" s="16" t="n">
        <f aca="false">G72-F72</f>
        <v>10</v>
      </c>
      <c r="I72" s="13" t="str">
        <f aca="false">IF(ABS(H72-E72)&lt;1,"OK","Lệch")</f>
        <v>OK</v>
      </c>
      <c r="J72" s="44" t="n">
        <f aca="false">MAX(0,MIN(1,($D$3-F72)/(G72-F72)))</f>
        <v>0</v>
      </c>
      <c r="K72" s="17" t="str">
        <f aca="false">IF($D$3&lt;F72,"Chưa bắt đầu",IF($D$3&gt;G72,"Đến hạn xong","Đang thi công"))</f>
        <v>Chưa bắt đầu</v>
      </c>
      <c r="L72" s="13" t="str">
        <f aca="false">IF(AND(D72="Chi tiết",F72&lt;=$G$4,G72&gt;=$F$4),"Có","")</f>
        <v/>
      </c>
      <c r="M72" s="16" t="n">
        <f aca="false">MAX($G$8:$G$92)-G72</f>
        <v>142</v>
      </c>
      <c r="N72" s="18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</row>
    <row r="73" customFormat="false" ht="16.5" hidden="false" customHeight="true" outlineLevel="0" collapsed="false">
      <c r="A73" s="29" t="n">
        <v>66</v>
      </c>
      <c r="B73" s="30" t="s">
        <v>183</v>
      </c>
      <c r="C73" s="51" t="s">
        <v>170</v>
      </c>
      <c r="D73" s="32" t="s">
        <v>116</v>
      </c>
      <c r="E73" s="33" t="n">
        <v>17</v>
      </c>
      <c r="F73" s="34" t="n">
        <v>46305</v>
      </c>
      <c r="G73" s="34" t="n">
        <v>46322</v>
      </c>
      <c r="H73" s="35" t="n">
        <f aca="false">G73-F73</f>
        <v>17</v>
      </c>
      <c r="I73" s="36" t="str">
        <f aca="false">IF(ABS(H73-E73)&lt;1,"OK","Lệch")</f>
        <v>OK</v>
      </c>
      <c r="J73" s="37" t="n">
        <f aca="false">MAX(0,MIN(1,($D$3-F73)/(G73-F73)))</f>
        <v>0</v>
      </c>
      <c r="K73" s="32" t="str">
        <f aca="false">IF($D$3&lt;F73,"Chưa bắt đầu",IF($D$3&gt;G73,"Đến hạn xong","Đang thi công"))</f>
        <v>Chưa bắt đầu</v>
      </c>
      <c r="L73" s="36" t="str">
        <f aca="false">IF(AND(D73="Chi tiết",F73&lt;=$G$4,G73&gt;=$F$4),"Có","")</f>
        <v/>
      </c>
      <c r="M73" s="35" t="n">
        <f aca="false">MAX($G$8:$G$92)-G73</f>
        <v>142</v>
      </c>
      <c r="N73" s="38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</row>
    <row r="74" customFormat="false" ht="25.5" hidden="false" customHeight="true" outlineLevel="0" collapsed="false">
      <c r="A74" s="13" t="n">
        <v>67</v>
      </c>
      <c r="B74" s="18" t="s">
        <v>183</v>
      </c>
      <c r="C74" s="52" t="s">
        <v>171</v>
      </c>
      <c r="D74" s="17" t="s">
        <v>122</v>
      </c>
      <c r="E74" s="42" t="n">
        <v>10</v>
      </c>
      <c r="F74" s="43" t="n">
        <v>46305</v>
      </c>
      <c r="G74" s="43" t="n">
        <v>46315</v>
      </c>
      <c r="H74" s="16" t="n">
        <f aca="false">G74-F74</f>
        <v>10</v>
      </c>
      <c r="I74" s="13" t="str">
        <f aca="false">IF(ABS(H74-E74)&lt;1,"OK","Lệch")</f>
        <v>OK</v>
      </c>
      <c r="J74" s="44" t="n">
        <f aca="false">MAX(0,MIN(1,($D$3-F74)/(G74-F74)))</f>
        <v>0</v>
      </c>
      <c r="K74" s="17" t="str">
        <f aca="false">IF($D$3&lt;F74,"Chưa bắt đầu",IF($D$3&gt;G74,"Đến hạn xong","Đang thi công"))</f>
        <v>Chưa bắt đầu</v>
      </c>
      <c r="L74" s="13" t="str">
        <f aca="false">IF(AND(D74="Chi tiết",F74&lt;=$G$4,G74&gt;=$F$4),"Có","")</f>
        <v/>
      </c>
      <c r="M74" s="16" t="n">
        <f aca="false">MAX($G$8:$G$92)-G74</f>
        <v>149</v>
      </c>
      <c r="N74" s="18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</row>
    <row r="75" customFormat="false" ht="16.5" hidden="false" customHeight="true" outlineLevel="0" collapsed="false">
      <c r="A75" s="13" t="n">
        <v>68</v>
      </c>
      <c r="B75" s="18" t="s">
        <v>183</v>
      </c>
      <c r="C75" s="52" t="s">
        <v>172</v>
      </c>
      <c r="D75" s="17" t="s">
        <v>122</v>
      </c>
      <c r="E75" s="42" t="n">
        <v>7</v>
      </c>
      <c r="F75" s="43" t="n">
        <v>46315</v>
      </c>
      <c r="G75" s="43" t="n">
        <v>46322</v>
      </c>
      <c r="H75" s="16" t="n">
        <f aca="false">G75-F75</f>
        <v>7</v>
      </c>
      <c r="I75" s="13" t="str">
        <f aca="false">IF(ABS(H75-E75)&lt;1,"OK","Lệch")</f>
        <v>OK</v>
      </c>
      <c r="J75" s="44" t="n">
        <f aca="false">MAX(0,MIN(1,($D$3-F75)/(G75-F75)))</f>
        <v>0</v>
      </c>
      <c r="K75" s="17" t="str">
        <f aca="false">IF($D$3&lt;F75,"Chưa bắt đầu",IF($D$3&gt;G75,"Đến hạn xong","Đang thi công"))</f>
        <v>Chưa bắt đầu</v>
      </c>
      <c r="L75" s="13" t="str">
        <f aca="false">IF(AND(D75="Chi tiết",F75&lt;=$G$4,G75&gt;=$F$4),"Có","")</f>
        <v/>
      </c>
      <c r="M75" s="16" t="n">
        <f aca="false">MAX($G$8:$G$92)-G75</f>
        <v>142</v>
      </c>
      <c r="N75" s="18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</row>
    <row r="76" customFormat="false" ht="16.5" hidden="false" customHeight="true" outlineLevel="0" collapsed="false">
      <c r="A76" s="29" t="n">
        <v>69</v>
      </c>
      <c r="B76" s="30" t="s">
        <v>183</v>
      </c>
      <c r="C76" s="48" t="s">
        <v>144</v>
      </c>
      <c r="D76" s="32" t="s">
        <v>116</v>
      </c>
      <c r="E76" s="33" t="n">
        <v>15</v>
      </c>
      <c r="F76" s="34" t="n">
        <v>46322</v>
      </c>
      <c r="G76" s="34" t="n">
        <v>46337</v>
      </c>
      <c r="H76" s="35" t="n">
        <f aca="false">G76-F76</f>
        <v>15</v>
      </c>
      <c r="I76" s="36" t="str">
        <f aca="false">IF(ABS(H76-E76)&lt;1,"OK","Lệch")</f>
        <v>OK</v>
      </c>
      <c r="J76" s="37" t="n">
        <f aca="false">MAX(0,MIN(1,($D$3-F76)/(G76-F76)))</f>
        <v>0</v>
      </c>
      <c r="K76" s="32" t="str">
        <f aca="false">IF($D$3&lt;F76,"Chưa bắt đầu",IF($D$3&gt;G76,"Đến hạn xong","Đang thi công"))</f>
        <v>Chưa bắt đầu</v>
      </c>
      <c r="L76" s="36" t="str">
        <f aca="false">IF(AND(D76="Chi tiết",F76&lt;=$G$4,G76&gt;=$F$4),"Có","")</f>
        <v/>
      </c>
      <c r="M76" s="35" t="n">
        <f aca="false">MAX($G$8:$G$92)-G76</f>
        <v>127</v>
      </c>
      <c r="N76" s="38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</row>
    <row r="77" customFormat="false" ht="16.5" hidden="false" customHeight="true" outlineLevel="0" collapsed="false">
      <c r="A77" s="13" t="n">
        <v>70</v>
      </c>
      <c r="B77" s="18" t="s">
        <v>183</v>
      </c>
      <c r="C77" s="49" t="s">
        <v>145</v>
      </c>
      <c r="D77" s="17" t="s">
        <v>122</v>
      </c>
      <c r="E77" s="42" t="n">
        <v>10</v>
      </c>
      <c r="F77" s="43" t="n">
        <v>46322</v>
      </c>
      <c r="G77" s="43" t="n">
        <v>46332</v>
      </c>
      <c r="H77" s="16" t="n">
        <f aca="false">G77-F77</f>
        <v>10</v>
      </c>
      <c r="I77" s="13" t="str">
        <f aca="false">IF(ABS(H77-E77)&lt;1,"OK","Lệch")</f>
        <v>OK</v>
      </c>
      <c r="J77" s="44" t="n">
        <f aca="false">MAX(0,MIN(1,($D$3-F77)/(G77-F77)))</f>
        <v>0</v>
      </c>
      <c r="K77" s="17" t="str">
        <f aca="false">IF($D$3&lt;F77,"Chưa bắt đầu",IF($D$3&gt;G77,"Đến hạn xong","Đang thi công"))</f>
        <v>Chưa bắt đầu</v>
      </c>
      <c r="L77" s="13" t="str">
        <f aca="false">IF(AND(D77="Chi tiết",F77&lt;=$G$4,G77&gt;=$F$4),"Có","")</f>
        <v/>
      </c>
      <c r="M77" s="16" t="n">
        <f aca="false">MAX($G$8:$G$92)-G77</f>
        <v>132</v>
      </c>
      <c r="N77" s="18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</row>
    <row r="78" customFormat="false" ht="16.5" hidden="false" customHeight="true" outlineLevel="0" collapsed="false">
      <c r="A78" s="13" t="n">
        <v>71</v>
      </c>
      <c r="B78" s="18" t="s">
        <v>183</v>
      </c>
      <c r="C78" s="49" t="s">
        <v>146</v>
      </c>
      <c r="D78" s="17" t="s">
        <v>122</v>
      </c>
      <c r="E78" s="42" t="n">
        <v>5</v>
      </c>
      <c r="F78" s="43" t="n">
        <v>46332</v>
      </c>
      <c r="G78" s="43" t="n">
        <v>46337</v>
      </c>
      <c r="H78" s="16" t="n">
        <f aca="false">G78-F78</f>
        <v>5</v>
      </c>
      <c r="I78" s="13" t="str">
        <f aca="false">IF(ABS(H78-E78)&lt;1,"OK","Lệch")</f>
        <v>OK</v>
      </c>
      <c r="J78" s="44" t="n">
        <f aca="false">MAX(0,MIN(1,($D$3-F78)/(G78-F78)))</f>
        <v>0</v>
      </c>
      <c r="K78" s="17" t="str">
        <f aca="false">IF($D$3&lt;F78,"Chưa bắt đầu",IF($D$3&gt;G78,"Đến hạn xong","Đang thi công"))</f>
        <v>Chưa bắt đầu</v>
      </c>
      <c r="L78" s="13" t="str">
        <f aca="false">IF(AND(D78="Chi tiết",F78&lt;=$G$4,G78&gt;=$F$4),"Có","")</f>
        <v/>
      </c>
      <c r="M78" s="16" t="n">
        <f aca="false">MAX($G$8:$G$92)-G78</f>
        <v>127</v>
      </c>
      <c r="N78" s="18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</row>
    <row r="79" customFormat="false" ht="16.5" hidden="false" customHeight="true" outlineLevel="0" collapsed="false">
      <c r="A79" s="29" t="n">
        <v>72</v>
      </c>
      <c r="B79" s="30" t="s">
        <v>183</v>
      </c>
      <c r="C79" s="48" t="s">
        <v>147</v>
      </c>
      <c r="D79" s="32" t="s">
        <v>116</v>
      </c>
      <c r="E79" s="33" t="n">
        <v>22</v>
      </c>
      <c r="F79" s="34" t="n">
        <v>46322</v>
      </c>
      <c r="G79" s="34" t="n">
        <v>46344</v>
      </c>
      <c r="H79" s="35" t="n">
        <f aca="false">G79-F79</f>
        <v>22</v>
      </c>
      <c r="I79" s="36" t="str">
        <f aca="false">IF(ABS(H79-E79)&lt;1,"OK","Lệch")</f>
        <v>OK</v>
      </c>
      <c r="J79" s="37" t="n">
        <f aca="false">MAX(0,MIN(1,($D$3-F79)/(G79-F79)))</f>
        <v>0</v>
      </c>
      <c r="K79" s="32" t="str">
        <f aca="false">IF($D$3&lt;F79,"Chưa bắt đầu",IF($D$3&gt;G79,"Đến hạn xong","Đang thi công"))</f>
        <v>Chưa bắt đầu</v>
      </c>
      <c r="L79" s="36" t="str">
        <f aca="false">IF(AND(D79="Chi tiết",F79&lt;=$G$4,G79&gt;=$F$4),"Có","")</f>
        <v/>
      </c>
      <c r="M79" s="35" t="n">
        <f aca="false">MAX($G$8:$G$92)-G79</f>
        <v>120</v>
      </c>
      <c r="N79" s="38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</row>
    <row r="80" customFormat="false" ht="16.5" hidden="false" customHeight="true" outlineLevel="0" collapsed="false">
      <c r="A80" s="13" t="n">
        <v>73</v>
      </c>
      <c r="B80" s="18" t="s">
        <v>183</v>
      </c>
      <c r="C80" s="49" t="s">
        <v>178</v>
      </c>
      <c r="D80" s="17" t="s">
        <v>122</v>
      </c>
      <c r="E80" s="42" t="n">
        <v>10</v>
      </c>
      <c r="F80" s="43" t="n">
        <v>46322</v>
      </c>
      <c r="G80" s="43" t="n">
        <v>46332</v>
      </c>
      <c r="H80" s="16" t="n">
        <f aca="false">G80-F80</f>
        <v>10</v>
      </c>
      <c r="I80" s="13" t="str">
        <f aca="false">IF(ABS(H80-E80)&lt;1,"OK","Lệch")</f>
        <v>OK</v>
      </c>
      <c r="J80" s="44" t="n">
        <f aca="false">MAX(0,MIN(1,($D$3-F80)/(G80-F80)))</f>
        <v>0</v>
      </c>
      <c r="K80" s="17" t="str">
        <f aca="false">IF($D$3&lt;F80,"Chưa bắt đầu",IF($D$3&gt;G80,"Đến hạn xong","Đang thi công"))</f>
        <v>Chưa bắt đầu</v>
      </c>
      <c r="L80" s="13" t="str">
        <f aca="false">IF(AND(D80="Chi tiết",F80&lt;=$G$4,G80&gt;=$F$4),"Có","")</f>
        <v/>
      </c>
      <c r="M80" s="16" t="n">
        <f aca="false">MAX($G$8:$G$92)-G80</f>
        <v>132</v>
      </c>
      <c r="N80" s="18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</row>
    <row r="81" customFormat="false" ht="16.5" hidden="false" customHeight="true" outlineLevel="0" collapsed="false">
      <c r="A81" s="13" t="n">
        <v>74</v>
      </c>
      <c r="B81" s="18" t="s">
        <v>183</v>
      </c>
      <c r="C81" s="49" t="s">
        <v>180</v>
      </c>
      <c r="D81" s="17" t="s">
        <v>122</v>
      </c>
      <c r="E81" s="42" t="n">
        <v>10</v>
      </c>
      <c r="F81" s="43" t="n">
        <v>46327</v>
      </c>
      <c r="G81" s="43" t="n">
        <v>46337</v>
      </c>
      <c r="H81" s="16" t="n">
        <f aca="false">G81-F81</f>
        <v>10</v>
      </c>
      <c r="I81" s="13" t="str">
        <f aca="false">IF(ABS(H81-E81)&lt;1,"OK","Lệch")</f>
        <v>OK</v>
      </c>
      <c r="J81" s="44" t="n">
        <f aca="false">MAX(0,MIN(1,($D$3-F81)/(G81-F81)))</f>
        <v>0</v>
      </c>
      <c r="K81" s="17" t="str">
        <f aca="false">IF($D$3&lt;F81,"Chưa bắt đầu",IF($D$3&gt;G81,"Đến hạn xong","Đang thi công"))</f>
        <v>Chưa bắt đầu</v>
      </c>
      <c r="L81" s="13" t="str">
        <f aca="false">IF(AND(D81="Chi tiết",F81&lt;=$G$4,G81&gt;=$F$4),"Có","")</f>
        <v/>
      </c>
      <c r="M81" s="16" t="n">
        <f aca="false">MAX($G$8:$G$92)-G81</f>
        <v>127</v>
      </c>
      <c r="N81" s="18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</row>
    <row r="82" customFormat="false" ht="16.5" hidden="false" customHeight="true" outlineLevel="0" collapsed="false">
      <c r="A82" s="13" t="n">
        <v>75</v>
      </c>
      <c r="B82" s="18" t="s">
        <v>183</v>
      </c>
      <c r="C82" s="49" t="s">
        <v>181</v>
      </c>
      <c r="D82" s="17" t="s">
        <v>122</v>
      </c>
      <c r="E82" s="42" t="n">
        <v>10</v>
      </c>
      <c r="F82" s="43" t="n">
        <v>46334</v>
      </c>
      <c r="G82" s="43" t="n">
        <v>46344</v>
      </c>
      <c r="H82" s="16" t="n">
        <f aca="false">G82-F82</f>
        <v>10</v>
      </c>
      <c r="I82" s="13" t="str">
        <f aca="false">IF(ABS(H82-E82)&lt;1,"OK","Lệch")</f>
        <v>OK</v>
      </c>
      <c r="J82" s="44" t="n">
        <f aca="false">MAX(0,MIN(1,($D$3-F82)/(G82-F82)))</f>
        <v>0</v>
      </c>
      <c r="K82" s="17" t="str">
        <f aca="false">IF($D$3&lt;F82,"Chưa bắt đầu",IF($D$3&gt;G82,"Đến hạn xong","Đang thi công"))</f>
        <v>Chưa bắt đầu</v>
      </c>
      <c r="L82" s="13" t="str">
        <f aca="false">IF(AND(D82="Chi tiết",F82&lt;=$G$4,G82&gt;=$F$4),"Có","")</f>
        <v/>
      </c>
      <c r="M82" s="16" t="n">
        <f aca="false">MAX($G$8:$G$92)-G82</f>
        <v>120</v>
      </c>
      <c r="N82" s="18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</row>
    <row r="83" customFormat="false" ht="16.5" hidden="false" customHeight="true" outlineLevel="0" collapsed="false">
      <c r="A83" s="13" t="n">
        <v>76</v>
      </c>
      <c r="B83" s="18" t="s">
        <v>183</v>
      </c>
      <c r="C83" s="49" t="s">
        <v>182</v>
      </c>
      <c r="D83" s="17" t="s">
        <v>122</v>
      </c>
      <c r="E83" s="42" t="n">
        <v>15</v>
      </c>
      <c r="F83" s="43" t="n">
        <v>46322</v>
      </c>
      <c r="G83" s="43" t="n">
        <v>46337</v>
      </c>
      <c r="H83" s="16" t="n">
        <f aca="false">G83-F83</f>
        <v>15</v>
      </c>
      <c r="I83" s="13" t="str">
        <f aca="false">IF(ABS(H83-E83)&lt;1,"OK","Lệch")</f>
        <v>OK</v>
      </c>
      <c r="J83" s="44" t="n">
        <f aca="false">MAX(0,MIN(1,($D$3-F83)/(G83-F83)))</f>
        <v>0</v>
      </c>
      <c r="K83" s="17" t="str">
        <f aca="false">IF($D$3&lt;F83,"Chưa bắt đầu",IF($D$3&gt;G83,"Đến hạn xong","Đang thi công"))</f>
        <v>Chưa bắt đầu</v>
      </c>
      <c r="L83" s="13" t="str">
        <f aca="false">IF(AND(D83="Chi tiết",F83&lt;=$G$4,G83&gt;=$F$4),"Có","")</f>
        <v/>
      </c>
      <c r="M83" s="16" t="n">
        <f aca="false">MAX($G$8:$G$92)-G83</f>
        <v>127</v>
      </c>
      <c r="N83" s="18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</row>
    <row r="84" customFormat="false" ht="16.5" hidden="false" customHeight="true" outlineLevel="0" collapsed="false">
      <c r="A84" s="29" t="n">
        <v>77</v>
      </c>
      <c r="B84" s="30" t="s">
        <v>185</v>
      </c>
      <c r="C84" s="47" t="s">
        <v>186</v>
      </c>
      <c r="D84" s="32" t="s">
        <v>116</v>
      </c>
      <c r="E84" s="33" t="n">
        <v>32</v>
      </c>
      <c r="F84" s="34" t="n">
        <v>46278</v>
      </c>
      <c r="G84" s="34" t="n">
        <v>46310</v>
      </c>
      <c r="H84" s="35" t="n">
        <f aca="false">G84-F84</f>
        <v>32</v>
      </c>
      <c r="I84" s="36" t="str">
        <f aca="false">IF(ABS(H84-E84)&lt;1,"OK","Lệch")</f>
        <v>OK</v>
      </c>
      <c r="J84" s="37" t="n">
        <f aca="false">MAX(0,MIN(1,($D$3-F84)/(G84-F84)))</f>
        <v>0.65625</v>
      </c>
      <c r="K84" s="32" t="str">
        <f aca="false">IF($D$3&lt;F84,"Chưa bắt đầu",IF($D$3&gt;G84,"Đến hạn xong","Đang thi công"))</f>
        <v>Đang thi công</v>
      </c>
      <c r="L84" s="36" t="str">
        <f aca="false">IF(AND(D84="Chi tiết",F84&lt;=$G$4,G84&gt;=$F$4),"Có","")</f>
        <v/>
      </c>
      <c r="M84" s="35" t="n">
        <f aca="false">MAX($G$8:$G$92)-G84</f>
        <v>154</v>
      </c>
      <c r="N84" s="38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</row>
    <row r="85" customFormat="false" ht="16.5" hidden="false" customHeight="true" outlineLevel="0" collapsed="false">
      <c r="A85" s="13" t="n">
        <v>78</v>
      </c>
      <c r="B85" s="18" t="s">
        <v>185</v>
      </c>
      <c r="C85" s="50" t="s">
        <v>164</v>
      </c>
      <c r="D85" s="17" t="s">
        <v>122</v>
      </c>
      <c r="E85" s="42" t="n">
        <v>7</v>
      </c>
      <c r="F85" s="43" t="n">
        <v>46278</v>
      </c>
      <c r="G85" s="43" t="n">
        <v>46285</v>
      </c>
      <c r="H85" s="16" t="n">
        <f aca="false">G85-F85</f>
        <v>7</v>
      </c>
      <c r="I85" s="13" t="str">
        <f aca="false">IF(ABS(H85-E85)&lt;1,"OK","Lệch")</f>
        <v>OK</v>
      </c>
      <c r="J85" s="44" t="n">
        <f aca="false">MAX(0,MIN(1,($D$3-F85)/(G85-F85)))</f>
        <v>1</v>
      </c>
      <c r="K85" s="17" t="str">
        <f aca="false">IF($D$3&lt;F85,"Chưa bắt đầu",IF($D$3&gt;G85,"Đến hạn xong","Đang thi công"))</f>
        <v>Đến hạn xong</v>
      </c>
      <c r="L85" s="13" t="str">
        <f aca="false">IF(AND(D85="Chi tiết",F85&lt;=$G$4,G85&gt;=$F$4),"Có","")</f>
        <v/>
      </c>
      <c r="M85" s="16" t="n">
        <f aca="false">MAX($G$8:$G$92)-G85</f>
        <v>179</v>
      </c>
      <c r="N85" s="18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</row>
    <row r="86" customFormat="false" ht="16.5" hidden="false" customHeight="true" outlineLevel="0" collapsed="false">
      <c r="A86" s="13" t="n">
        <v>79</v>
      </c>
      <c r="B86" s="18" t="s">
        <v>185</v>
      </c>
      <c r="C86" s="50" t="s">
        <v>187</v>
      </c>
      <c r="D86" s="17" t="s">
        <v>122</v>
      </c>
      <c r="E86" s="42" t="n">
        <v>25</v>
      </c>
      <c r="F86" s="43" t="n">
        <v>46285</v>
      </c>
      <c r="G86" s="43" t="n">
        <v>46310</v>
      </c>
      <c r="H86" s="16" t="n">
        <f aca="false">G86-F86</f>
        <v>25</v>
      </c>
      <c r="I86" s="13" t="str">
        <f aca="false">IF(ABS(H86-E86)&lt;1,"OK","Lệch")</f>
        <v>OK</v>
      </c>
      <c r="J86" s="44" t="n">
        <f aca="false">MAX(0,MIN(1,($D$3-F86)/(G86-F86)))</f>
        <v>0.56</v>
      </c>
      <c r="K86" s="17" t="str">
        <f aca="false">IF($D$3&lt;F86,"Chưa bắt đầu",IF($D$3&gt;G86,"Đến hạn xong","Đang thi công"))</f>
        <v>Đang thi công</v>
      </c>
      <c r="L86" s="13" t="str">
        <f aca="false">IF(AND(D86="Chi tiết",F86&lt;=$G$4,G86&gt;=$F$4),"Có","")</f>
        <v/>
      </c>
      <c r="M86" s="16" t="n">
        <f aca="false">MAX($G$8:$G$92)-G86</f>
        <v>154</v>
      </c>
      <c r="N86" s="18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</row>
    <row r="87" customFormat="false" ht="16.5" hidden="false" customHeight="true" outlineLevel="0" collapsed="false">
      <c r="A87" s="13" t="n">
        <v>80</v>
      </c>
      <c r="B87" s="18" t="s">
        <v>188</v>
      </c>
      <c r="C87" s="46" t="s">
        <v>189</v>
      </c>
      <c r="D87" s="17" t="s">
        <v>122</v>
      </c>
      <c r="E87" s="42" t="n">
        <v>30</v>
      </c>
      <c r="F87" s="43" t="n">
        <v>46263</v>
      </c>
      <c r="G87" s="43" t="n">
        <v>46293</v>
      </c>
      <c r="H87" s="16" t="n">
        <f aca="false">G87-F87</f>
        <v>30</v>
      </c>
      <c r="I87" s="13" t="str">
        <f aca="false">IF(ABS(H87-E87)&lt;1,"OK","Lệch")</f>
        <v>OK</v>
      </c>
      <c r="J87" s="44" t="n">
        <f aca="false">MAX(0,MIN(1,($D$3-F87)/(G87-F87)))</f>
        <v>1</v>
      </c>
      <c r="K87" s="17" t="str">
        <f aca="false">IF($D$3&lt;F87,"Chưa bắt đầu",IF($D$3&gt;G87,"Đến hạn xong","Đang thi công"))</f>
        <v>Đến hạn xong</v>
      </c>
      <c r="L87" s="13" t="str">
        <f aca="false">IF(AND(D87="Chi tiết",F87&lt;=$G$4,G87&gt;=$F$4),"Có","")</f>
        <v/>
      </c>
      <c r="M87" s="16" t="n">
        <f aca="false">MAX($G$8:$G$92)-G87</f>
        <v>171</v>
      </c>
      <c r="N87" s="18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</row>
    <row r="88" customFormat="false" ht="16.5" hidden="false" customHeight="true" outlineLevel="0" collapsed="false">
      <c r="A88" s="13" t="n">
        <v>81</v>
      </c>
      <c r="B88" s="18" t="s">
        <v>190</v>
      </c>
      <c r="C88" s="46" t="s">
        <v>191</v>
      </c>
      <c r="D88" s="17" t="s">
        <v>122</v>
      </c>
      <c r="E88" s="42" t="n">
        <v>15</v>
      </c>
      <c r="F88" s="43" t="n">
        <v>46419</v>
      </c>
      <c r="G88" s="43" t="n">
        <v>46434</v>
      </c>
      <c r="H88" s="16" t="n">
        <f aca="false">G88-F88</f>
        <v>15</v>
      </c>
      <c r="I88" s="13" t="str">
        <f aca="false">IF(ABS(H88-E88)&lt;1,"OK","Lệch")</f>
        <v>OK</v>
      </c>
      <c r="J88" s="44" t="n">
        <f aca="false">MAX(0,MIN(1,($D$3-F88)/(G88-F88)))</f>
        <v>0</v>
      </c>
      <c r="K88" s="17" t="str">
        <f aca="false">IF($D$3&lt;F88,"Chưa bắt đầu",IF($D$3&gt;G88,"Đến hạn xong","Đang thi công"))</f>
        <v>Chưa bắt đầu</v>
      </c>
      <c r="L88" s="13" t="str">
        <f aca="false">IF(AND(D88="Chi tiết",F88&lt;=$G$4,G88&gt;=$F$4),"Có","")</f>
        <v>Có</v>
      </c>
      <c r="M88" s="16" t="n">
        <f aca="false">MAX($G$8:$G$92)-G88</f>
        <v>30</v>
      </c>
      <c r="N88" s="18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</row>
    <row r="89" customFormat="false" ht="16.5" hidden="false" customHeight="true" outlineLevel="0" collapsed="false">
      <c r="A89" s="13" t="n">
        <v>82</v>
      </c>
      <c r="B89" s="18" t="s">
        <v>192</v>
      </c>
      <c r="C89" s="46" t="s">
        <v>193</v>
      </c>
      <c r="D89" s="17" t="s">
        <v>122</v>
      </c>
      <c r="E89" s="42" t="n">
        <v>45</v>
      </c>
      <c r="F89" s="43" t="n">
        <v>46398</v>
      </c>
      <c r="G89" s="43" t="n">
        <v>46443</v>
      </c>
      <c r="H89" s="16" t="n">
        <f aca="false">G89-F89</f>
        <v>45</v>
      </c>
      <c r="I89" s="13" t="str">
        <f aca="false">IF(ABS(H89-E89)&lt;1,"OK","Lệch")</f>
        <v>OK</v>
      </c>
      <c r="J89" s="44" t="n">
        <f aca="false">MAX(0,MIN(1,($D$3-F89)/(G89-F89)))</f>
        <v>0</v>
      </c>
      <c r="K89" s="17" t="str">
        <f aca="false">IF($D$3&lt;F89,"Chưa bắt đầu",IF($D$3&gt;G89,"Đến hạn xong","Đang thi công"))</f>
        <v>Chưa bắt đầu</v>
      </c>
      <c r="L89" s="13" t="str">
        <f aca="false">IF(AND(D89="Chi tiết",F89&lt;=$G$4,G89&gt;=$F$4),"Có","")</f>
        <v>Có</v>
      </c>
      <c r="M89" s="16" t="n">
        <f aca="false">MAX($G$8:$G$92)-G89</f>
        <v>21</v>
      </c>
      <c r="N89" s="18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</row>
    <row r="90" customFormat="false" ht="16.5" hidden="false" customHeight="true" outlineLevel="0" collapsed="false">
      <c r="A90" s="13" t="n">
        <v>83</v>
      </c>
      <c r="B90" s="18" t="s">
        <v>194</v>
      </c>
      <c r="C90" s="46" t="s">
        <v>195</v>
      </c>
      <c r="D90" s="17" t="s">
        <v>122</v>
      </c>
      <c r="E90" s="42" t="n">
        <v>150</v>
      </c>
      <c r="F90" s="43" t="n">
        <v>46278</v>
      </c>
      <c r="G90" s="43" t="n">
        <v>46428</v>
      </c>
      <c r="H90" s="16" t="n">
        <f aca="false">G90-F90</f>
        <v>150</v>
      </c>
      <c r="I90" s="13" t="str">
        <f aca="false">IF(ABS(H90-E90)&lt;1,"OK","Lệch")</f>
        <v>OK</v>
      </c>
      <c r="J90" s="44" t="n">
        <f aca="false">MAX(0,MIN(1,($D$3-F90)/(G90-F90)))</f>
        <v>0.14</v>
      </c>
      <c r="K90" s="17" t="str">
        <f aca="false">IF($D$3&lt;F90,"Chưa bắt đầu",IF($D$3&gt;G90,"Đến hạn xong","Đang thi công"))</f>
        <v>Đang thi công</v>
      </c>
      <c r="L90" s="13" t="str">
        <f aca="false">IF(AND(D90="Chi tiết",F90&lt;=$G$4,G90&gt;=$F$4),"Có","")</f>
        <v>Có</v>
      </c>
      <c r="M90" s="16" t="n">
        <f aca="false">MAX($G$8:$G$92)-G90</f>
        <v>36</v>
      </c>
      <c r="N90" s="18" t="s">
        <v>196</v>
      </c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</row>
    <row r="91" customFormat="false" ht="16.5" hidden="false" customHeight="true" outlineLevel="0" collapsed="false">
      <c r="A91" s="29" t="n">
        <v>84</v>
      </c>
      <c r="B91" s="30" t="s">
        <v>197</v>
      </c>
      <c r="C91" s="40" t="s">
        <v>198</v>
      </c>
      <c r="D91" s="32" t="s">
        <v>116</v>
      </c>
      <c r="E91" s="33" t="n">
        <v>30</v>
      </c>
      <c r="F91" s="34" t="n">
        <v>46434</v>
      </c>
      <c r="G91" s="34" t="n">
        <v>46464</v>
      </c>
      <c r="H91" s="35" t="n">
        <f aca="false">G91-F91</f>
        <v>30</v>
      </c>
      <c r="I91" s="36" t="str">
        <f aca="false">IF(ABS(H91-E91)&lt;1,"OK","Lệch")</f>
        <v>OK</v>
      </c>
      <c r="J91" s="37" t="n">
        <f aca="false">MAX(0,MIN(1,($D$3-F91)/(G91-F91)))</f>
        <v>0</v>
      </c>
      <c r="K91" s="32" t="str">
        <f aca="false">IF($D$3&lt;F91,"Chưa bắt đầu",IF($D$3&gt;G91,"Đến hạn xong","Đang thi công"))</f>
        <v>Chưa bắt đầu</v>
      </c>
      <c r="L91" s="36" t="str">
        <f aca="false">IF(AND(D91="Chi tiết",F91&lt;=$G$4,G91&gt;=$F$4),"Có","")</f>
        <v/>
      </c>
      <c r="M91" s="35" t="n">
        <f aca="false">MAX($G$8:$G$92)-G91</f>
        <v>0</v>
      </c>
      <c r="N91" s="38" t="s">
        <v>199</v>
      </c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</row>
    <row r="92" customFormat="false" ht="16.5" hidden="false" customHeight="true" outlineLevel="0" collapsed="false">
      <c r="A92" s="13" t="n">
        <v>85</v>
      </c>
      <c r="B92" s="18" t="s">
        <v>197</v>
      </c>
      <c r="C92" s="41" t="s">
        <v>149</v>
      </c>
      <c r="D92" s="17" t="s">
        <v>122</v>
      </c>
      <c r="E92" s="42" t="n">
        <v>30</v>
      </c>
      <c r="F92" s="43" t="n">
        <v>46434</v>
      </c>
      <c r="G92" s="43" t="n">
        <v>46464</v>
      </c>
      <c r="H92" s="16" t="n">
        <f aca="false">G92-F92</f>
        <v>30</v>
      </c>
      <c r="I92" s="13" t="str">
        <f aca="false">IF(ABS(H92-E92)&lt;1,"OK","Lệch")</f>
        <v>OK</v>
      </c>
      <c r="J92" s="44" t="n">
        <f aca="false">MAX(0,MIN(1,($D$3-F92)/(G92-F92)))</f>
        <v>0</v>
      </c>
      <c r="K92" s="17" t="str">
        <f aca="false">IF($D$3&lt;F92,"Chưa bắt đầu",IF($D$3&gt;G92,"Đến hạn xong","Đang thi công"))</f>
        <v>Chưa bắt đầu</v>
      </c>
      <c r="L92" s="13" t="str">
        <f aca="false">IF(AND(D92="Chi tiết",F92&lt;=$G$4,G92&gt;=$F$4),"Có","")</f>
        <v/>
      </c>
      <c r="M92" s="16" t="n">
        <f aca="false">MAX($G$8:$G$92)-G92</f>
        <v>0</v>
      </c>
      <c r="N92" s="18" t="s">
        <v>200</v>
      </c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</row>
  </sheetData>
  <mergeCells count="27">
    <mergeCell ref="A1:N1"/>
    <mergeCell ref="A2:N2"/>
    <mergeCell ref="C5:N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Q6"/>
    <mergeCell ref="R6:U6"/>
    <mergeCell ref="V6:Z6"/>
    <mergeCell ref="AA6:AD6"/>
    <mergeCell ref="AE6:AH6"/>
    <mergeCell ref="AI6:AM6"/>
    <mergeCell ref="AN6:AQ6"/>
    <mergeCell ref="AR6:AU6"/>
    <mergeCell ref="AV6:AY6"/>
    <mergeCell ref="AZ6:BB6"/>
  </mergeCells>
  <conditionalFormatting sqref="O8:BB92">
    <cfRule type="expression" priority="2" aboveAverage="0" equalAverage="0" bottom="0" percent="0" rank="0" text="" dxfId="2">
      <formula>AND(O$7&lt;=$G8,O$7+6&gt;=$F8,$D8="Tổng hợp")</formula>
    </cfRule>
    <cfRule type="expression" priority="3" aboveAverage="0" equalAverage="0" bottom="0" percent="0" rank="0" text="" dxfId="3">
      <formula>AND(O$7&lt;=$G8,O$7+6&gt;=$F8,$D8="Chi tiết",$M8&lt;=0)</formula>
    </cfRule>
    <cfRule type="expression" priority="4" aboveAverage="0" equalAverage="0" bottom="0" percent="0" rank="0" text="" dxfId="4">
      <formula>AND(O$7&lt;=$G8,O$7+6&gt;=$F8,$D8="Chi tiết",$M8&lt;=30)</formula>
    </cfRule>
    <cfRule type="expression" priority="5" aboveAverage="0" equalAverage="0" bottom="0" percent="0" rank="0" text="" dxfId="5">
      <formula>AND(O$7&lt;=$G8,O$7+6&gt;=$F8,$D8="Chi tiết")</formula>
    </cfRule>
    <cfRule type="expression" priority="6" aboveAverage="0" equalAverage="0" bottom="0" percent="0" rank="0" text="" dxfId="6">
      <formula>AND(O$7&lt;=$D$3,O$7+6&gt;=$D$3)</formula>
    </cfRule>
  </conditionalFormatting>
  <conditionalFormatting sqref="I8:I92">
    <cfRule type="cellIs" priority="7" operator="equal" aboveAverage="0" equalAverage="0" bottom="0" percent="0" rank="0" text="" dxfId="0">
      <formula>"Lệch"</formula>
    </cfRule>
  </conditionalFormatting>
  <conditionalFormatting sqref="L8:L92">
    <cfRule type="cellIs" priority="8" operator="equal" aboveAverage="0" equalAverage="0" bottom="0" percent="0" rank="0" text="" dxfId="0">
      <formula>"Có"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M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6" min="5" style="0" width="16"/>
    <col collapsed="false" customWidth="true" hidden="false" outlineLevel="0" max="7" min="7" style="0" width="22"/>
    <col collapsed="false" customWidth="true" hidden="false" outlineLevel="0" max="8" min="8" style="0" width="50"/>
    <col collapsed="false" customWidth="true" hidden="false" outlineLevel="0" max="13" min="9" style="0" width="8"/>
  </cols>
  <sheetData>
    <row r="1" customFormat="false" ht="24" hidden="false" customHeight="true" outlineLevel="0" collapsed="false">
      <c r="A1" s="1" t="s">
        <v>201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202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203</v>
      </c>
      <c r="B3" s="3"/>
      <c r="C3" s="3"/>
      <c r="D3" s="3"/>
      <c r="E3" s="3"/>
      <c r="F3" s="3"/>
      <c r="G3" s="3"/>
      <c r="H3" s="3"/>
    </row>
    <row r="4" customFormat="false" ht="30" hidden="false" customHeight="true" outlineLevel="0" collapsed="false">
      <c r="A4" s="12" t="s">
        <v>204</v>
      </c>
      <c r="B4" s="12" t="s">
        <v>205</v>
      </c>
      <c r="C4" s="12" t="s">
        <v>206</v>
      </c>
      <c r="D4" s="12" t="s">
        <v>207</v>
      </c>
      <c r="E4" s="12" t="s">
        <v>99</v>
      </c>
      <c r="F4" s="12" t="s">
        <v>100</v>
      </c>
      <c r="G4" s="12" t="s">
        <v>208</v>
      </c>
      <c r="H4" s="12" t="s">
        <v>54</v>
      </c>
    </row>
    <row r="5" customFormat="false" ht="15" hidden="false" customHeight="false" outlineLevel="0" collapsed="false">
      <c r="A5" s="13" t="n">
        <v>1</v>
      </c>
      <c r="B5" s="14" t="s">
        <v>209</v>
      </c>
      <c r="C5" s="55" t="n">
        <v>1</v>
      </c>
      <c r="D5" s="56" t="n">
        <v>9</v>
      </c>
      <c r="E5" s="43" t="n">
        <v>46204</v>
      </c>
      <c r="F5" s="43" t="n">
        <v>46474</v>
      </c>
      <c r="G5" s="14" t="s">
        <v>210</v>
      </c>
      <c r="H5" s="14"/>
    </row>
    <row r="6" customFormat="false" ht="15" hidden="false" customHeight="false" outlineLevel="0" collapsed="false">
      <c r="A6" s="13" t="n">
        <v>2</v>
      </c>
      <c r="B6" s="14" t="s">
        <v>211</v>
      </c>
      <c r="C6" s="55" t="n">
        <v>1</v>
      </c>
      <c r="D6" s="56" t="n">
        <v>10</v>
      </c>
      <c r="E6" s="43" t="n">
        <v>46204</v>
      </c>
      <c r="F6" s="43" t="n">
        <v>46504</v>
      </c>
      <c r="G6" s="14" t="s">
        <v>210</v>
      </c>
      <c r="H6" s="14"/>
    </row>
    <row r="7" customFormat="false" ht="15" hidden="false" customHeight="false" outlineLevel="0" collapsed="false">
      <c r="A7" s="13" t="n">
        <v>3</v>
      </c>
      <c r="B7" s="14" t="s">
        <v>212</v>
      </c>
      <c r="C7" s="55" t="n">
        <v>1</v>
      </c>
      <c r="D7" s="56" t="n">
        <v>9</v>
      </c>
      <c r="E7" s="43" t="n">
        <v>46204</v>
      </c>
      <c r="F7" s="43" t="n">
        <v>46474</v>
      </c>
      <c r="G7" s="14" t="s">
        <v>213</v>
      </c>
      <c r="H7" s="14"/>
    </row>
    <row r="8" customFormat="false" ht="15" hidden="false" customHeight="false" outlineLevel="0" collapsed="false">
      <c r="A8" s="13" t="n">
        <v>4</v>
      </c>
      <c r="B8" s="14" t="s">
        <v>214</v>
      </c>
      <c r="C8" s="55" t="n">
        <v>1</v>
      </c>
      <c r="D8" s="56" t="n">
        <v>10</v>
      </c>
      <c r="E8" s="43" t="n">
        <v>46204</v>
      </c>
      <c r="F8" s="43" t="n">
        <v>46504</v>
      </c>
      <c r="G8" s="14" t="s">
        <v>213</v>
      </c>
      <c r="H8" s="14"/>
    </row>
    <row r="9" customFormat="false" ht="15" hidden="false" customHeight="false" outlineLevel="0" collapsed="false">
      <c r="A9" s="13" t="n">
        <v>5</v>
      </c>
      <c r="B9" s="14" t="s">
        <v>214</v>
      </c>
      <c r="C9" s="55" t="n">
        <v>1</v>
      </c>
      <c r="D9" s="56" t="n">
        <v>9</v>
      </c>
      <c r="E9" s="43" t="n">
        <v>46204</v>
      </c>
      <c r="F9" s="43" t="n">
        <v>46474</v>
      </c>
      <c r="G9" s="14" t="s">
        <v>213</v>
      </c>
      <c r="H9" s="14"/>
    </row>
    <row r="10" customFormat="false" ht="15" hidden="false" customHeight="false" outlineLevel="0" collapsed="false">
      <c r="A10" s="13" t="n">
        <v>6</v>
      </c>
      <c r="B10" s="14" t="s">
        <v>215</v>
      </c>
      <c r="C10" s="55" t="n">
        <v>1</v>
      </c>
      <c r="D10" s="56" t="n">
        <v>9</v>
      </c>
      <c r="E10" s="43" t="n">
        <v>46204</v>
      </c>
      <c r="F10" s="43" t="n">
        <v>46474</v>
      </c>
      <c r="G10" s="14" t="s">
        <v>150</v>
      </c>
      <c r="H10" s="14"/>
    </row>
    <row r="11" customFormat="false" ht="15" hidden="false" customHeight="false" outlineLevel="0" collapsed="false">
      <c r="A11" s="13" t="n">
        <v>7</v>
      </c>
      <c r="B11" s="14" t="s">
        <v>216</v>
      </c>
      <c r="C11" s="55" t="n">
        <v>1</v>
      </c>
      <c r="D11" s="56" t="n">
        <v>9</v>
      </c>
      <c r="E11" s="43" t="n">
        <v>46204</v>
      </c>
      <c r="F11" s="43" t="n">
        <v>46474</v>
      </c>
      <c r="G11" s="14" t="s">
        <v>217</v>
      </c>
      <c r="H11" s="14"/>
    </row>
    <row r="12" customFormat="false" ht="15" hidden="false" customHeight="false" outlineLevel="0" collapsed="false">
      <c r="A12" s="13" t="n">
        <v>8</v>
      </c>
      <c r="B12" s="14" t="s">
        <v>218</v>
      </c>
      <c r="C12" s="55" t="n">
        <v>1</v>
      </c>
      <c r="D12" s="56" t="n">
        <v>8</v>
      </c>
      <c r="E12" s="43" t="n">
        <v>46204</v>
      </c>
      <c r="F12" s="43" t="n">
        <v>46444</v>
      </c>
      <c r="G12" s="14" t="s">
        <v>219</v>
      </c>
      <c r="H12" s="14"/>
    </row>
    <row r="13" customFormat="false" ht="15" hidden="false" customHeight="false" outlineLevel="0" collapsed="false">
      <c r="A13" s="13" t="n">
        <v>9</v>
      </c>
      <c r="B13" s="14" t="s">
        <v>220</v>
      </c>
      <c r="C13" s="55" t="n">
        <v>1</v>
      </c>
      <c r="D13" s="56" t="n">
        <v>11</v>
      </c>
      <c r="E13" s="43" t="n">
        <v>46204</v>
      </c>
      <c r="F13" s="43" t="n">
        <v>46534</v>
      </c>
      <c r="G13" s="14" t="s">
        <v>221</v>
      </c>
      <c r="H13" s="14"/>
    </row>
    <row r="14" customFormat="false" ht="15" hidden="false" customHeight="false" outlineLevel="0" collapsed="false">
      <c r="A14" s="13" t="n">
        <v>10</v>
      </c>
      <c r="B14" s="14" t="s">
        <v>222</v>
      </c>
      <c r="C14" s="55" t="n">
        <v>1</v>
      </c>
      <c r="D14" s="56" t="n">
        <v>10</v>
      </c>
      <c r="E14" s="43" t="n">
        <v>46204</v>
      </c>
      <c r="F14" s="43" t="n">
        <v>46504</v>
      </c>
      <c r="G14" s="14" t="s">
        <v>223</v>
      </c>
      <c r="H14" s="14"/>
    </row>
    <row r="15" customFormat="false" ht="15" hidden="false" customHeight="false" outlineLevel="0" collapsed="false">
      <c r="A15" s="13" t="n">
        <v>11</v>
      </c>
      <c r="B15" s="14" t="s">
        <v>224</v>
      </c>
      <c r="C15" s="55" t="n">
        <v>1</v>
      </c>
      <c r="D15" s="56" t="n">
        <v>9</v>
      </c>
      <c r="E15" s="43" t="n">
        <v>46204</v>
      </c>
      <c r="F15" s="43" t="n">
        <v>46474</v>
      </c>
      <c r="G15" s="14" t="s">
        <v>40</v>
      </c>
      <c r="H15" s="14"/>
    </row>
    <row r="16" customFormat="false" ht="15" hidden="false" customHeight="false" outlineLevel="0" collapsed="false">
      <c r="A16" s="13" t="n">
        <v>12</v>
      </c>
      <c r="B16" s="14" t="s">
        <v>225</v>
      </c>
      <c r="C16" s="55" t="n">
        <v>1</v>
      </c>
      <c r="D16" s="56" t="n">
        <v>8</v>
      </c>
      <c r="E16" s="43" t="n">
        <v>46204</v>
      </c>
      <c r="F16" s="43" t="n">
        <v>46444</v>
      </c>
      <c r="G16" s="14" t="s">
        <v>226</v>
      </c>
      <c r="H16" s="14"/>
    </row>
    <row r="17" customFormat="false" ht="15" hidden="false" customHeight="false" outlineLevel="0" collapsed="false">
      <c r="A17" s="13" t="n">
        <v>13</v>
      </c>
      <c r="B17" s="14" t="s">
        <v>227</v>
      </c>
      <c r="C17" s="55" t="n">
        <v>1</v>
      </c>
      <c r="D17" s="56" t="n">
        <v>8</v>
      </c>
      <c r="E17" s="43" t="n">
        <v>46204</v>
      </c>
      <c r="F17" s="43" t="n">
        <v>46444</v>
      </c>
      <c r="G17" s="14" t="s">
        <v>228</v>
      </c>
      <c r="H17" s="14"/>
    </row>
    <row r="18" customFormat="false" ht="15" hidden="false" customHeight="false" outlineLevel="0" collapsed="false">
      <c r="A18" s="57"/>
      <c r="B18" s="31" t="s">
        <v>229</v>
      </c>
      <c r="C18" s="58" t="n">
        <f aca="false">SUM(C5:C17)</f>
        <v>13</v>
      </c>
      <c r="D18" s="57"/>
      <c r="E18" s="57"/>
      <c r="F18" s="57"/>
      <c r="G18" s="57"/>
      <c r="H18" s="57"/>
    </row>
    <row r="19" customFormat="false" ht="27.75" hidden="false" customHeight="true" outlineLevel="0" collapsed="false">
      <c r="A19" s="24" t="s">
        <v>230</v>
      </c>
      <c r="B19" s="24"/>
      <c r="C19" s="24"/>
      <c r="D19" s="24"/>
      <c r="E19" s="24"/>
      <c r="F19" s="24"/>
      <c r="G19" s="24"/>
      <c r="H19" s="24"/>
    </row>
    <row r="21" customFormat="false" ht="19.5" hidden="false" customHeight="true" outlineLevel="0" collapsed="false">
      <c r="A21" s="3" t="s">
        <v>231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customFormat="false" ht="15" hidden="false" customHeight="false" outlineLevel="0" collapsed="false">
      <c r="B22" s="12" t="s">
        <v>79</v>
      </c>
      <c r="C22" s="59" t="n">
        <v>46204</v>
      </c>
      <c r="D22" s="60" t="n">
        <f aca="false">EDATE(C22,1)</f>
        <v>46235</v>
      </c>
      <c r="E22" s="60" t="n">
        <f aca="false">EDATE(D22,1)</f>
        <v>46266</v>
      </c>
      <c r="F22" s="60" t="n">
        <f aca="false">EDATE(E22,1)</f>
        <v>46296</v>
      </c>
      <c r="G22" s="60" t="n">
        <f aca="false">EDATE(F22,1)</f>
        <v>46327</v>
      </c>
      <c r="H22" s="60" t="n">
        <f aca="false">EDATE(G22,1)</f>
        <v>46357</v>
      </c>
      <c r="I22" s="60" t="n">
        <f aca="false">EDATE(H22,1)</f>
        <v>46388</v>
      </c>
      <c r="J22" s="60" t="n">
        <f aca="false">EDATE(I22,1)</f>
        <v>46419</v>
      </c>
      <c r="K22" s="60" t="n">
        <f aca="false">EDATE(J22,1)</f>
        <v>46447</v>
      </c>
      <c r="L22" s="60" t="n">
        <f aca="false">EDATE(K22,1)</f>
        <v>46478</v>
      </c>
      <c r="M22" s="60" t="n">
        <f aca="false">EDATE(L22,1)</f>
        <v>46508</v>
      </c>
    </row>
    <row r="23" customFormat="false" ht="15" hidden="false" customHeight="false" outlineLevel="0" collapsed="false">
      <c r="B23" s="61" t="s">
        <v>232</v>
      </c>
      <c r="C23" s="62" t="n">
        <f aca="false">SUMPRODUCT(($C$5:$C$17)*($E$5:$E$17&lt;=EOMONTH(C22,0))*($F$5:$F$17&gt;=C22))</f>
        <v>13</v>
      </c>
      <c r="D23" s="62" t="n">
        <f aca="false">SUMPRODUCT(($C$5:$C$17)*($E$5:$E$17&lt;=EOMONTH(D22,0))*($F$5:$F$17&gt;=D22))</f>
        <v>13</v>
      </c>
      <c r="E23" s="62" t="n">
        <f aca="false">SUMPRODUCT(($C$5:$C$17)*($E$5:$E$17&lt;=EOMONTH(E22,0))*($F$5:$F$17&gt;=E22))</f>
        <v>13</v>
      </c>
      <c r="F23" s="62" t="n">
        <f aca="false">SUMPRODUCT(($C$5:$C$17)*($E$5:$E$17&lt;=EOMONTH(F22,0))*($F$5:$F$17&gt;=F22))</f>
        <v>13</v>
      </c>
      <c r="G23" s="62" t="n">
        <f aca="false">SUMPRODUCT(($C$5:$C$17)*($E$5:$E$17&lt;=EOMONTH(G22,0))*($F$5:$F$17&gt;=G22))</f>
        <v>13</v>
      </c>
      <c r="H23" s="62" t="n">
        <f aca="false">SUMPRODUCT(($C$5:$C$17)*($E$5:$E$17&lt;=EOMONTH(H22,0))*($F$5:$F$17&gt;=H22))</f>
        <v>13</v>
      </c>
      <c r="I23" s="62" t="n">
        <f aca="false">SUMPRODUCT(($C$5:$C$17)*($E$5:$E$17&lt;=EOMONTH(I22,0))*($F$5:$F$17&gt;=I22))</f>
        <v>13</v>
      </c>
      <c r="J23" s="62" t="n">
        <f aca="false">SUMPRODUCT(($C$5:$C$17)*($E$5:$E$17&lt;=EOMONTH(J22,0))*($F$5:$F$17&gt;=J22))</f>
        <v>13</v>
      </c>
      <c r="K23" s="62" t="n">
        <f aca="false">SUMPRODUCT(($C$5:$C$17)*($E$5:$E$17&lt;=EOMONTH(K22,0))*($F$5:$F$17&gt;=K22))</f>
        <v>10</v>
      </c>
      <c r="L23" s="62" t="n">
        <f aca="false">SUMPRODUCT(($C$5:$C$17)*($E$5:$E$17&lt;=EOMONTH(L22,0))*($F$5:$F$17&gt;=L22))</f>
        <v>4</v>
      </c>
      <c r="M23" s="62" t="n">
        <f aca="false">SUMPRODUCT(($C$5:$C$17)*($E$5:$E$17&lt;=EOMONTH(M22,0))*($F$5:$F$17&gt;=M22))</f>
        <v>1</v>
      </c>
    </row>
    <row r="24" customFormat="false" ht="15" hidden="false" customHeight="true" outlineLevel="0" collapsed="false">
      <c r="B24" s="24" t="s">
        <v>233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</row>
    <row r="26" customFormat="false" ht="19.5" hidden="false" customHeight="true" outlineLevel="0" collapsed="false">
      <c r="A26" s="3" t="s">
        <v>234</v>
      </c>
      <c r="B26" s="3"/>
      <c r="C26" s="3"/>
      <c r="D26" s="3"/>
      <c r="E26" s="3"/>
      <c r="F26" s="3"/>
      <c r="G26" s="3"/>
      <c r="H26" s="3"/>
    </row>
    <row r="27" customFormat="false" ht="30" hidden="false" customHeight="true" outlineLevel="0" collapsed="false">
      <c r="A27" s="12"/>
      <c r="B27" s="12" t="s">
        <v>235</v>
      </c>
      <c r="C27" s="12" t="s">
        <v>236</v>
      </c>
      <c r="D27" s="12" t="s">
        <v>237</v>
      </c>
      <c r="E27" s="12" t="s">
        <v>238</v>
      </c>
      <c r="F27" s="12"/>
      <c r="G27" s="12"/>
      <c r="H27" s="12" t="s">
        <v>239</v>
      </c>
    </row>
    <row r="28" customFormat="false" ht="15" hidden="false" customHeight="true" outlineLevel="0" collapsed="false">
      <c r="B28" s="14" t="s">
        <v>240</v>
      </c>
      <c r="C28" s="15" t="n">
        <f aca="false">MIN(TienDo!$F$8:$F$92)</f>
        <v>46194</v>
      </c>
      <c r="D28" s="43" t="n">
        <v>46204</v>
      </c>
      <c r="E28" s="16" t="n">
        <f aca="false">D28-C28</f>
        <v>10</v>
      </c>
      <c r="H28" s="63" t="s">
        <v>241</v>
      </c>
    </row>
    <row r="29" customFormat="false" ht="15" hidden="false" customHeight="false" outlineLevel="0" collapsed="false">
      <c r="B29" s="14" t="s">
        <v>242</v>
      </c>
      <c r="C29" s="15" t="n">
        <f aca="false">MAX(TienDo!$G$8:$G$92)</f>
        <v>46464</v>
      </c>
      <c r="D29" s="43" t="n">
        <v>46474</v>
      </c>
      <c r="E29" s="16" t="n">
        <f aca="false">D29-C29</f>
        <v>10</v>
      </c>
      <c r="H29" s="63"/>
    </row>
    <row r="31" customFormat="false" ht="19.5" hidden="false" customHeight="true" outlineLevel="0" collapsed="false">
      <c r="A31" s="3" t="s">
        <v>243</v>
      </c>
      <c r="B31" s="3"/>
      <c r="C31" s="3"/>
      <c r="D31" s="3"/>
      <c r="E31" s="3"/>
      <c r="F31" s="3"/>
      <c r="G31" s="3"/>
      <c r="H31" s="3"/>
    </row>
    <row r="32" customFormat="false" ht="30" hidden="false" customHeight="true" outlineLevel="0" collapsed="false">
      <c r="A32" s="12" t="s">
        <v>204</v>
      </c>
      <c r="B32" s="12" t="s">
        <v>244</v>
      </c>
      <c r="C32" s="12" t="s">
        <v>245</v>
      </c>
      <c r="D32" s="12" t="s">
        <v>207</v>
      </c>
      <c r="E32" s="12" t="s">
        <v>99</v>
      </c>
      <c r="F32" s="12" t="s">
        <v>100</v>
      </c>
      <c r="G32" s="12"/>
      <c r="H32" s="12" t="s">
        <v>54</v>
      </c>
    </row>
    <row r="33" customFormat="false" ht="15" hidden="false" customHeight="false" outlineLevel="0" collapsed="false">
      <c r="A33" s="13" t="n">
        <v>1</v>
      </c>
      <c r="B33" s="14" t="s">
        <v>246</v>
      </c>
      <c r="C33" s="55" t="n">
        <v>1</v>
      </c>
      <c r="D33" s="56" t="n">
        <v>9</v>
      </c>
      <c r="E33" s="43" t="n">
        <v>46204</v>
      </c>
      <c r="F33" s="43" t="n">
        <v>46474</v>
      </c>
      <c r="G33" s="14"/>
      <c r="H33" s="18"/>
    </row>
    <row r="34" customFormat="false" ht="15" hidden="false" customHeight="false" outlineLevel="0" collapsed="false">
      <c r="A34" s="13" t="n">
        <v>2</v>
      </c>
      <c r="B34" s="14" t="s">
        <v>247</v>
      </c>
      <c r="C34" s="55" t="n">
        <v>2</v>
      </c>
      <c r="D34" s="56" t="n">
        <v>9</v>
      </c>
      <c r="E34" s="43" t="n">
        <v>46204</v>
      </c>
      <c r="F34" s="43" t="n">
        <v>46474</v>
      </c>
      <c r="G34" s="14"/>
      <c r="H34" s="18"/>
    </row>
    <row r="35" customFormat="false" ht="15" hidden="false" customHeight="false" outlineLevel="0" collapsed="false">
      <c r="A35" s="13" t="n">
        <v>3</v>
      </c>
      <c r="B35" s="14" t="s">
        <v>248</v>
      </c>
      <c r="C35" s="55" t="n">
        <v>4</v>
      </c>
      <c r="D35" s="56" t="n">
        <v>1</v>
      </c>
      <c r="E35" s="43" t="n">
        <v>46444</v>
      </c>
      <c r="F35" s="43" t="n">
        <v>46474</v>
      </c>
      <c r="G35" s="14"/>
      <c r="H35" s="18" t="s">
        <v>249</v>
      </c>
    </row>
    <row r="36" customFormat="false" ht="27.75" hidden="false" customHeight="true" outlineLevel="0" collapsed="false">
      <c r="A36" s="24" t="s">
        <v>250</v>
      </c>
      <c r="B36" s="24"/>
      <c r="C36" s="24"/>
      <c r="D36" s="24"/>
      <c r="E36" s="24"/>
      <c r="F36" s="24"/>
      <c r="G36" s="24"/>
      <c r="H36" s="24"/>
    </row>
    <row r="38" customFormat="false" ht="19.5" hidden="false" customHeight="true" outlineLevel="0" collapsed="false">
      <c r="A38" s="3" t="s">
        <v>251</v>
      </c>
      <c r="B38" s="3"/>
      <c r="C38" s="3"/>
      <c r="D38" s="3"/>
      <c r="E38" s="3"/>
      <c r="F38" s="3"/>
      <c r="G38" s="3"/>
      <c r="H38" s="3"/>
    </row>
    <row r="39" customFormat="false" ht="30" hidden="false" customHeight="true" outlineLevel="0" collapsed="false">
      <c r="A39" s="12" t="s">
        <v>204</v>
      </c>
      <c r="B39" s="12" t="s">
        <v>252</v>
      </c>
      <c r="C39" s="12" t="s">
        <v>253</v>
      </c>
      <c r="D39" s="12" t="s">
        <v>206</v>
      </c>
      <c r="E39" s="12" t="s">
        <v>254</v>
      </c>
      <c r="F39" s="12" t="s">
        <v>255</v>
      </c>
      <c r="G39" s="12" t="s">
        <v>256</v>
      </c>
      <c r="H39" s="12" t="s">
        <v>54</v>
      </c>
    </row>
    <row r="40" customFormat="false" ht="27.75" hidden="false" customHeight="true" outlineLevel="0" collapsed="false">
      <c r="A40" s="13" t="n">
        <v>1</v>
      </c>
      <c r="B40" s="14" t="s">
        <v>257</v>
      </c>
      <c r="C40" s="13" t="s">
        <v>258</v>
      </c>
      <c r="D40" s="55" t="n">
        <v>1</v>
      </c>
      <c r="E40" s="64" t="n">
        <v>1800000000</v>
      </c>
      <c r="F40" s="18" t="s">
        <v>259</v>
      </c>
      <c r="G40" s="18" t="s">
        <v>260</v>
      </c>
      <c r="H40" s="18" t="s">
        <v>261</v>
      </c>
    </row>
    <row r="41" customFormat="false" ht="27.75" hidden="false" customHeight="true" outlineLevel="0" collapsed="false">
      <c r="A41" s="13" t="n">
        <v>2</v>
      </c>
      <c r="B41" s="14" t="s">
        <v>262</v>
      </c>
      <c r="C41" s="13" t="s">
        <v>258</v>
      </c>
      <c r="D41" s="55" t="n">
        <v>1</v>
      </c>
      <c r="E41" s="64" t="n">
        <v>45000000</v>
      </c>
      <c r="F41" s="18" t="s">
        <v>259</v>
      </c>
      <c r="G41" s="18" t="s">
        <v>263</v>
      </c>
      <c r="H41" s="18"/>
    </row>
    <row r="42" customFormat="false" ht="27.75" hidden="false" customHeight="true" outlineLevel="0" collapsed="false">
      <c r="A42" s="13" t="n">
        <v>3</v>
      </c>
      <c r="B42" s="14" t="s">
        <v>264</v>
      </c>
      <c r="C42" s="13" t="s">
        <v>265</v>
      </c>
      <c r="D42" s="55" t="n">
        <v>0</v>
      </c>
      <c r="E42" s="64" t="n">
        <v>0</v>
      </c>
      <c r="F42" s="18" t="s">
        <v>266</v>
      </c>
      <c r="G42" s="18" t="s">
        <v>267</v>
      </c>
      <c r="H42" s="18" t="s">
        <v>268</v>
      </c>
    </row>
    <row r="43" customFormat="false" ht="27.75" hidden="false" customHeight="true" outlineLevel="0" collapsed="false">
      <c r="A43" s="13" t="n">
        <v>4</v>
      </c>
      <c r="B43" s="14" t="s">
        <v>269</v>
      </c>
      <c r="C43" s="13" t="s">
        <v>270</v>
      </c>
      <c r="D43" s="55" t="n">
        <v>0</v>
      </c>
      <c r="E43" s="64" t="n">
        <v>0</v>
      </c>
      <c r="F43" s="18" t="s">
        <v>266</v>
      </c>
      <c r="G43" s="18" t="s">
        <v>271</v>
      </c>
      <c r="H43" s="18" t="s">
        <v>272</v>
      </c>
    </row>
    <row r="44" customFormat="false" ht="27.75" hidden="false" customHeight="true" outlineLevel="0" collapsed="false">
      <c r="A44" s="13" t="n">
        <v>5</v>
      </c>
      <c r="B44" s="14" t="s">
        <v>273</v>
      </c>
      <c r="C44" s="13" t="s">
        <v>274</v>
      </c>
      <c r="D44" s="55" t="n">
        <v>1</v>
      </c>
      <c r="E44" s="64" t="n">
        <v>60000000</v>
      </c>
      <c r="F44" s="18" t="s">
        <v>275</v>
      </c>
      <c r="G44" s="18" t="s">
        <v>276</v>
      </c>
      <c r="H44" s="18"/>
    </row>
    <row r="45" customFormat="false" ht="27.75" hidden="false" customHeight="true" outlineLevel="0" collapsed="false">
      <c r="A45" s="13" t="n">
        <v>6</v>
      </c>
      <c r="B45" s="14" t="s">
        <v>277</v>
      </c>
      <c r="C45" s="13" t="s">
        <v>274</v>
      </c>
      <c r="D45" s="55" t="n">
        <v>1</v>
      </c>
      <c r="E45" s="64" t="n">
        <v>20000000</v>
      </c>
      <c r="F45" s="18" t="s">
        <v>278</v>
      </c>
      <c r="G45" s="18" t="s">
        <v>276</v>
      </c>
      <c r="H45" s="18"/>
    </row>
    <row r="46" customFormat="false" ht="27.75" hidden="false" customHeight="true" outlineLevel="0" collapsed="false">
      <c r="A46" s="13" t="n">
        <v>7</v>
      </c>
      <c r="B46" s="14" t="s">
        <v>279</v>
      </c>
      <c r="C46" s="13" t="s">
        <v>274</v>
      </c>
      <c r="D46" s="55" t="n">
        <v>1</v>
      </c>
      <c r="E46" s="64" t="n">
        <v>80000000</v>
      </c>
      <c r="F46" s="18" t="s">
        <v>275</v>
      </c>
      <c r="G46" s="18" t="s">
        <v>276</v>
      </c>
      <c r="H46" s="18"/>
    </row>
  </sheetData>
  <mergeCells count="11">
    <mergeCell ref="A1:H1"/>
    <mergeCell ref="A2:H2"/>
    <mergeCell ref="A3:H3"/>
    <mergeCell ref="A19:H19"/>
    <mergeCell ref="A21:M21"/>
    <mergeCell ref="B24:M24"/>
    <mergeCell ref="A26:H26"/>
    <mergeCell ref="H28:H29"/>
    <mergeCell ref="A31:H31"/>
    <mergeCell ref="A36:H36"/>
    <mergeCell ref="A38:H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60"/>
    <col collapsed="false" customWidth="true" hidden="false" outlineLevel="0" max="6" min="6" style="0" width="24"/>
    <col collapsed="false" customWidth="true" hidden="false" outlineLevel="0" max="7" min="7" style="0" width="26"/>
  </cols>
  <sheetData>
    <row r="1" customFormat="false" ht="24" hidden="false" customHeight="true" outlineLevel="0" collapsed="false">
      <c r="A1" s="1" t="s">
        <v>280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281</v>
      </c>
      <c r="B2" s="2"/>
      <c r="C2" s="2"/>
      <c r="D2" s="2"/>
      <c r="E2" s="2"/>
      <c r="F2" s="2"/>
      <c r="G2" s="2"/>
    </row>
    <row r="3" customFormat="false" ht="19.5" hidden="false" customHeight="true" outlineLevel="0" collapsed="false">
      <c r="A3" s="3" t="s">
        <v>282</v>
      </c>
      <c r="B3" s="3"/>
      <c r="C3" s="3"/>
      <c r="D3" s="3"/>
      <c r="E3" s="3"/>
      <c r="F3" s="3"/>
      <c r="G3" s="3"/>
    </row>
    <row r="4" customFormat="false" ht="30" hidden="false" customHeight="true" outlineLevel="0" collapsed="false">
      <c r="A4" s="12" t="s">
        <v>204</v>
      </c>
      <c r="B4" s="12" t="s">
        <v>252</v>
      </c>
      <c r="C4" s="12" t="s">
        <v>253</v>
      </c>
      <c r="D4" s="12" t="s">
        <v>283</v>
      </c>
      <c r="E4" s="12" t="s">
        <v>284</v>
      </c>
      <c r="F4" s="12" t="s">
        <v>285</v>
      </c>
      <c r="G4" s="12" t="s">
        <v>256</v>
      </c>
    </row>
    <row r="5" customFormat="false" ht="39.75" hidden="false" customHeight="true" outlineLevel="0" collapsed="false">
      <c r="A5" s="13" t="n">
        <v>1</v>
      </c>
      <c r="B5" s="14" t="s">
        <v>286</v>
      </c>
      <c r="C5" s="13" t="s">
        <v>265</v>
      </c>
      <c r="D5" s="65" t="n">
        <v>2</v>
      </c>
      <c r="E5" s="18" t="s">
        <v>287</v>
      </c>
      <c r="F5" s="66" t="str">
        <f aca="false">TEXT(TienDo!$F$15,"dd/mm/yyyy")&amp;" – "&amp;TEXT(TienDo!$G$15,"dd/mm/yyyy")</f>
        <v>21/06/2026 – 26/12/2026</v>
      </c>
      <c r="G5" s="18" t="s">
        <v>288</v>
      </c>
    </row>
    <row r="6" customFormat="false" ht="27.75" hidden="false" customHeight="true" outlineLevel="0" collapsed="false">
      <c r="A6" s="13" t="n">
        <v>2</v>
      </c>
      <c r="B6" s="14" t="s">
        <v>289</v>
      </c>
      <c r="C6" s="13" t="s">
        <v>265</v>
      </c>
      <c r="D6" s="65" t="n">
        <v>1</v>
      </c>
      <c r="E6" s="18" t="s">
        <v>290</v>
      </c>
      <c r="F6" s="17" t="s">
        <v>291</v>
      </c>
      <c r="G6" s="18" t="s">
        <v>292</v>
      </c>
    </row>
    <row r="7" customFormat="false" ht="27.75" hidden="false" customHeight="true" outlineLevel="0" collapsed="false">
      <c r="A7" s="13" t="n">
        <v>3</v>
      </c>
      <c r="B7" s="14" t="s">
        <v>293</v>
      </c>
      <c r="C7" s="13" t="s">
        <v>265</v>
      </c>
      <c r="D7" s="65" t="n">
        <v>2</v>
      </c>
      <c r="E7" s="18" t="s">
        <v>294</v>
      </c>
      <c r="F7" s="17" t="s">
        <v>291</v>
      </c>
      <c r="G7" s="18" t="s">
        <v>292</v>
      </c>
    </row>
    <row r="8" customFormat="false" ht="27.75" hidden="false" customHeight="true" outlineLevel="0" collapsed="false">
      <c r="A8" s="13" t="n">
        <v>4</v>
      </c>
      <c r="B8" s="14" t="s">
        <v>295</v>
      </c>
      <c r="C8" s="13" t="s">
        <v>296</v>
      </c>
      <c r="D8" s="65" t="n">
        <v>60</v>
      </c>
      <c r="E8" s="18" t="s">
        <v>297</v>
      </c>
      <c r="F8" s="17" t="s">
        <v>291</v>
      </c>
      <c r="G8" s="18" t="s">
        <v>292</v>
      </c>
    </row>
    <row r="9" customFormat="false" ht="27.75" hidden="false" customHeight="true" outlineLevel="0" collapsed="false">
      <c r="A9" s="13" t="n">
        <v>5</v>
      </c>
      <c r="B9" s="14" t="s">
        <v>298</v>
      </c>
      <c r="C9" s="13" t="s">
        <v>296</v>
      </c>
      <c r="D9" s="65" t="n">
        <v>160</v>
      </c>
      <c r="E9" s="18" t="s">
        <v>299</v>
      </c>
      <c r="F9" s="66" t="str">
        <f aca="false">TEXT(TienDo!$F$16,"dd/mm/yyyy")&amp;" – "&amp;TEXT(TienDo!$G$16,"dd/mm/yyyy")</f>
        <v>21/06/2026 – 06/07/2026</v>
      </c>
      <c r="G9" s="18" t="s">
        <v>300</v>
      </c>
    </row>
    <row r="10" customFormat="false" ht="27.75" hidden="false" customHeight="true" outlineLevel="0" collapsed="false">
      <c r="A10" s="13" t="n">
        <v>6</v>
      </c>
      <c r="B10" s="14" t="s">
        <v>301</v>
      </c>
      <c r="C10" s="13" t="s">
        <v>265</v>
      </c>
      <c r="D10" s="65" t="n">
        <v>1</v>
      </c>
      <c r="E10" s="18" t="s">
        <v>302</v>
      </c>
      <c r="F10" s="17" t="s">
        <v>291</v>
      </c>
      <c r="G10" s="18" t="s">
        <v>292</v>
      </c>
    </row>
    <row r="11" customFormat="false" ht="27.75" hidden="false" customHeight="true" outlineLevel="0" collapsed="false">
      <c r="A11" s="13" t="n">
        <v>7</v>
      </c>
      <c r="B11" s="14" t="s">
        <v>303</v>
      </c>
      <c r="C11" s="13" t="s">
        <v>304</v>
      </c>
      <c r="D11" s="65" t="n">
        <v>1</v>
      </c>
      <c r="E11" s="18" t="s">
        <v>305</v>
      </c>
      <c r="F11" s="17" t="s">
        <v>306</v>
      </c>
      <c r="G11" s="18" t="s">
        <v>292</v>
      </c>
    </row>
    <row r="12" customFormat="false" ht="27.75" hidden="false" customHeight="true" outlineLevel="0" collapsed="false">
      <c r="A12" s="13" t="n">
        <v>8</v>
      </c>
      <c r="B12" s="14" t="s">
        <v>307</v>
      </c>
      <c r="C12" s="13" t="s">
        <v>308</v>
      </c>
      <c r="D12" s="65" t="n">
        <v>50</v>
      </c>
      <c r="E12" s="18" t="s">
        <v>309</v>
      </c>
      <c r="F12" s="66" t="str">
        <f aca="false">TEXT(TienDo!$F$17,"dd/mm/yyyy")&amp;" – "&amp;TEXT(TienDo!$G$17,"dd/mm/yyyy")</f>
        <v>21/06/2026 – 06/07/2026</v>
      </c>
      <c r="G12" s="18" t="s">
        <v>310</v>
      </c>
    </row>
    <row r="13" customFormat="false" ht="27.75" hidden="false" customHeight="true" outlineLevel="0" collapsed="false">
      <c r="A13" s="13" t="n">
        <v>9</v>
      </c>
      <c r="B13" s="14" t="s">
        <v>311</v>
      </c>
      <c r="C13" s="13" t="s">
        <v>308</v>
      </c>
      <c r="D13" s="65" t="n">
        <v>20</v>
      </c>
      <c r="E13" s="18" t="s">
        <v>312</v>
      </c>
      <c r="F13" s="66" t="str">
        <f aca="false">TEXT(TienDo!$F$17,"dd/mm/yyyy")&amp;" – "&amp;TEXT(TienDo!$G$17,"dd/mm/yyyy")</f>
        <v>21/06/2026 – 06/07/2026</v>
      </c>
      <c r="G13" s="18" t="s">
        <v>310</v>
      </c>
    </row>
    <row r="14" customFormat="false" ht="27.75" hidden="false" customHeight="true" outlineLevel="0" collapsed="false">
      <c r="A14" s="13" t="n">
        <v>10</v>
      </c>
      <c r="B14" s="14" t="s">
        <v>313</v>
      </c>
      <c r="C14" s="13" t="s">
        <v>265</v>
      </c>
      <c r="D14" s="65" t="n">
        <v>7</v>
      </c>
      <c r="E14" s="18" t="s">
        <v>314</v>
      </c>
      <c r="F14" s="66" t="str">
        <f aca="false">TEXT(TienDo!$F$17,"dd/mm/yyyy")&amp;" – "&amp;TEXT(TienDo!$G$17,"dd/mm/yyyy")</f>
        <v>21/06/2026 – 06/07/2026</v>
      </c>
      <c r="G14" s="18" t="s">
        <v>310</v>
      </c>
    </row>
    <row r="15" customFormat="false" ht="27.75" hidden="false" customHeight="true" outlineLevel="0" collapsed="false">
      <c r="A15" s="13" t="n">
        <v>11</v>
      </c>
      <c r="B15" s="14" t="s">
        <v>315</v>
      </c>
      <c r="C15" s="13" t="s">
        <v>316</v>
      </c>
      <c r="D15" s="65" t="n">
        <v>2</v>
      </c>
      <c r="E15" s="18" t="s">
        <v>317</v>
      </c>
      <c r="F15" s="17" t="s">
        <v>291</v>
      </c>
      <c r="G15" s="18" t="s">
        <v>318</v>
      </c>
    </row>
    <row r="16" customFormat="false" ht="27.75" hidden="false" customHeight="true" outlineLevel="0" collapsed="false">
      <c r="A16" s="13" t="n">
        <v>12</v>
      </c>
      <c r="B16" s="14" t="s">
        <v>319</v>
      </c>
      <c r="C16" s="13" t="s">
        <v>316</v>
      </c>
      <c r="D16" s="65" t="n">
        <v>1</v>
      </c>
      <c r="E16" s="18" t="s">
        <v>320</v>
      </c>
      <c r="F16" s="17" t="s">
        <v>291</v>
      </c>
      <c r="G16" s="18" t="s">
        <v>318</v>
      </c>
    </row>
    <row r="17" customFormat="false" ht="27.75" hidden="false" customHeight="true" outlineLevel="0" collapsed="false">
      <c r="A17" s="13" t="n">
        <v>13</v>
      </c>
      <c r="B17" s="14" t="s">
        <v>321</v>
      </c>
      <c r="C17" s="13" t="s">
        <v>270</v>
      </c>
      <c r="D17" s="65" t="n">
        <v>9.03</v>
      </c>
      <c r="E17" s="18" t="s">
        <v>322</v>
      </c>
      <c r="F17" s="17" t="s">
        <v>291</v>
      </c>
      <c r="G17" s="18" t="s">
        <v>318</v>
      </c>
    </row>
    <row r="18" customFormat="false" ht="42" hidden="false" customHeight="true" outlineLevel="0" collapsed="false">
      <c r="A18" s="24" t="s">
        <v>323</v>
      </c>
      <c r="B18" s="24"/>
      <c r="C18" s="24"/>
      <c r="D18" s="24"/>
      <c r="E18" s="24"/>
      <c r="F18" s="24"/>
      <c r="G18" s="24"/>
    </row>
    <row r="20" customFormat="false" ht="19.5" hidden="false" customHeight="true" outlineLevel="0" collapsed="false">
      <c r="A20" s="3" t="s">
        <v>324</v>
      </c>
      <c r="B20" s="3"/>
      <c r="C20" s="3"/>
      <c r="D20" s="3"/>
      <c r="E20" s="3"/>
      <c r="F20" s="3"/>
      <c r="G20" s="3"/>
    </row>
    <row r="21" customFormat="false" ht="30" hidden="false" customHeight="true" outlineLevel="0" collapsed="false">
      <c r="A21" s="12" t="s">
        <v>204</v>
      </c>
      <c r="B21" s="12" t="s">
        <v>325</v>
      </c>
      <c r="C21" s="12" t="s">
        <v>253</v>
      </c>
      <c r="D21" s="12" t="s">
        <v>326</v>
      </c>
      <c r="E21" s="12" t="s">
        <v>327</v>
      </c>
      <c r="F21" s="12"/>
      <c r="G21" s="12" t="s">
        <v>256</v>
      </c>
    </row>
    <row r="22" customFormat="false" ht="27.75" hidden="false" customHeight="true" outlineLevel="0" collapsed="false">
      <c r="A22" s="13" t="n">
        <v>1</v>
      </c>
      <c r="B22" s="14" t="s">
        <v>328</v>
      </c>
      <c r="C22" s="13" t="s">
        <v>296</v>
      </c>
      <c r="D22" s="55" t="n">
        <v>27225</v>
      </c>
      <c r="E22" s="7" t="s">
        <v>329</v>
      </c>
      <c r="F22" s="7"/>
      <c r="G22" s="18" t="s">
        <v>330</v>
      </c>
    </row>
    <row r="23" customFormat="false" ht="27.75" hidden="false" customHeight="true" outlineLevel="0" collapsed="false">
      <c r="A23" s="13" t="n">
        <v>2</v>
      </c>
      <c r="B23" s="14" t="s">
        <v>331</v>
      </c>
      <c r="C23" s="13" t="s">
        <v>332</v>
      </c>
      <c r="D23" s="62" t="n">
        <f aca="false">D22/TienDo!$E$52</f>
        <v>302.5</v>
      </c>
      <c r="E23" s="7" t="s">
        <v>333</v>
      </c>
      <c r="F23" s="7"/>
      <c r="G23" s="18" t="s">
        <v>334</v>
      </c>
    </row>
    <row r="24" customFormat="false" ht="27.75" hidden="false" customHeight="true" outlineLevel="0" collapsed="false">
      <c r="A24" s="13" t="n">
        <v>3</v>
      </c>
      <c r="B24" s="14" t="s">
        <v>335</v>
      </c>
      <c r="C24" s="13" t="s">
        <v>296</v>
      </c>
      <c r="D24" s="62" t="n">
        <f aca="false">D22/3</f>
        <v>9075</v>
      </c>
      <c r="E24" s="7" t="s">
        <v>336</v>
      </c>
      <c r="F24" s="7"/>
      <c r="G24" s="18" t="s">
        <v>337</v>
      </c>
    </row>
    <row r="25" customFormat="false" ht="27.75" hidden="false" customHeight="true" outlineLevel="0" collapsed="false">
      <c r="A25" s="13" t="n">
        <v>4</v>
      </c>
      <c r="B25" s="14" t="s">
        <v>338</v>
      </c>
      <c r="C25" s="13" t="s">
        <v>296</v>
      </c>
      <c r="D25" s="67" t="n">
        <v>3080.9</v>
      </c>
      <c r="E25" s="7" t="s">
        <v>339</v>
      </c>
      <c r="F25" s="7"/>
      <c r="G25" s="18" t="s">
        <v>340</v>
      </c>
    </row>
    <row r="26" customFormat="false" ht="27.75" hidden="false" customHeight="true" outlineLevel="0" collapsed="false">
      <c r="A26" s="13" t="n">
        <v>5</v>
      </c>
      <c r="B26" s="14" t="s">
        <v>341</v>
      </c>
      <c r="C26" s="13" t="s">
        <v>342</v>
      </c>
      <c r="D26" s="62" t="n">
        <f aca="false">ChiPhi!$F$67/D25</f>
        <v>81248.09404433</v>
      </c>
      <c r="E26" s="7" t="s">
        <v>343</v>
      </c>
      <c r="F26" s="7"/>
      <c r="G26" s="18" t="s">
        <v>344</v>
      </c>
    </row>
    <row r="27" customFormat="false" ht="27.75" hidden="false" customHeight="true" outlineLevel="0" collapsed="false">
      <c r="A27" s="13" t="n">
        <v>6</v>
      </c>
      <c r="B27" s="14" t="s">
        <v>345</v>
      </c>
      <c r="C27" s="13" t="s">
        <v>296</v>
      </c>
      <c r="D27" s="55" t="n">
        <v>36365</v>
      </c>
      <c r="E27" s="7" t="s">
        <v>346</v>
      </c>
      <c r="F27" s="7"/>
      <c r="G27" s="18" t="s">
        <v>330</v>
      </c>
    </row>
    <row r="28" customFormat="false" ht="27.75" hidden="false" customHeight="true" outlineLevel="0" collapsed="false">
      <c r="A28" s="13" t="n">
        <v>7</v>
      </c>
      <c r="B28" s="14" t="s">
        <v>347</v>
      </c>
      <c r="C28" s="13" t="s">
        <v>332</v>
      </c>
      <c r="D28" s="62" t="n">
        <f aca="false">D27/TienDo!$E$92</f>
        <v>1212.16666666667</v>
      </c>
      <c r="E28" s="7" t="s">
        <v>348</v>
      </c>
      <c r="F28" s="7"/>
      <c r="G28" s="18" t="s">
        <v>349</v>
      </c>
    </row>
    <row r="29" customFormat="false" ht="27.75" hidden="false" customHeight="true" outlineLevel="0" collapsed="false">
      <c r="A29" s="13" t="n">
        <v>8</v>
      </c>
      <c r="B29" s="14" t="s">
        <v>350</v>
      </c>
      <c r="C29" s="13" t="s">
        <v>342</v>
      </c>
      <c r="D29" s="62" t="n">
        <f aca="false">ChiPhi!$F$41/D27</f>
        <v>9516.70562353912</v>
      </c>
      <c r="E29" s="7" t="s">
        <v>351</v>
      </c>
      <c r="F29" s="7"/>
      <c r="G29" s="18" t="s">
        <v>352</v>
      </c>
    </row>
    <row r="30" customFormat="false" ht="27.75" hidden="false" customHeight="true" outlineLevel="0" collapsed="false">
      <c r="A30" s="13" t="n">
        <v>9</v>
      </c>
      <c r="B30" s="14" t="s">
        <v>353</v>
      </c>
      <c r="C30" s="13" t="s">
        <v>296</v>
      </c>
      <c r="D30" s="62" t="n">
        <f aca="false">D27-680-1400</f>
        <v>34285</v>
      </c>
      <c r="E30" s="7" t="s">
        <v>354</v>
      </c>
      <c r="F30" s="7"/>
      <c r="G30" s="18" t="s">
        <v>330</v>
      </c>
    </row>
  </sheetData>
  <mergeCells count="15">
    <mergeCell ref="A1:G1"/>
    <mergeCell ref="A2:G2"/>
    <mergeCell ref="A3:G3"/>
    <mergeCell ref="A18:G18"/>
    <mergeCell ref="A20:G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4" min="3" style="0" width="13"/>
    <col collapsed="false" customWidth="true" hidden="false" outlineLevel="0" max="5" min="5" style="0" width="38"/>
    <col collapsed="false" customWidth="true" hidden="false" outlineLevel="0" max="6" min="6" style="0" width="46"/>
    <col collapsed="false" customWidth="true" hidden="false" outlineLevel="0" max="7" min="7" style="0" width="36"/>
  </cols>
  <sheetData>
    <row r="1" customFormat="false" ht="24" hidden="false" customHeight="true" outlineLevel="0" collapsed="false">
      <c r="A1" s="1" t="s">
        <v>355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356</v>
      </c>
      <c r="B2" s="2"/>
      <c r="C2" s="2"/>
      <c r="D2" s="2"/>
      <c r="E2" s="2"/>
      <c r="F2" s="2"/>
      <c r="G2" s="2"/>
    </row>
    <row r="3" customFormat="false" ht="19.5" hidden="false" customHeight="true" outlineLevel="0" collapsed="false">
      <c r="A3" s="3" t="s">
        <v>357</v>
      </c>
      <c r="B3" s="3"/>
      <c r="C3" s="3"/>
      <c r="D3" s="3"/>
      <c r="E3" s="3"/>
      <c r="F3" s="3"/>
      <c r="G3" s="3"/>
    </row>
    <row r="4" customFormat="false" ht="30" hidden="false" customHeight="true" outlineLevel="0" collapsed="false">
      <c r="A4" s="12" t="s">
        <v>204</v>
      </c>
      <c r="B4" s="12" t="s">
        <v>235</v>
      </c>
      <c r="C4" s="12" t="s">
        <v>326</v>
      </c>
      <c r="D4" s="12" t="s">
        <v>358</v>
      </c>
      <c r="E4" s="12" t="s">
        <v>54</v>
      </c>
      <c r="F4" s="12"/>
      <c r="G4" s="12"/>
    </row>
    <row r="5" customFormat="false" ht="15" hidden="false" customHeight="true" outlineLevel="0" collapsed="false">
      <c r="A5" s="13" t="n">
        <v>1</v>
      </c>
      <c r="B5" s="14" t="s">
        <v>359</v>
      </c>
      <c r="C5" s="68" t="n">
        <f aca="false">NguonLuc!$C$18</f>
        <v>13</v>
      </c>
      <c r="D5" s="13" t="s">
        <v>360</v>
      </c>
      <c r="E5" s="7" t="s">
        <v>361</v>
      </c>
      <c r="F5" s="7"/>
      <c r="G5" s="7"/>
    </row>
    <row r="6" customFormat="false" ht="15" hidden="false" customHeight="true" outlineLevel="0" collapsed="false">
      <c r="A6" s="13" t="n">
        <v>2</v>
      </c>
      <c r="B6" s="14" t="s">
        <v>362</v>
      </c>
      <c r="C6" s="55" t="n">
        <v>250</v>
      </c>
      <c r="D6" s="13" t="s">
        <v>360</v>
      </c>
      <c r="E6" s="7" t="s">
        <v>363</v>
      </c>
      <c r="F6" s="7"/>
      <c r="G6" s="7"/>
    </row>
    <row r="7" customFormat="false" ht="15" hidden="false" customHeight="true" outlineLevel="0" collapsed="false">
      <c r="A7" s="13" t="n">
        <v>3</v>
      </c>
      <c r="B7" s="14" t="s">
        <v>364</v>
      </c>
      <c r="C7" s="67" t="n">
        <v>1.2</v>
      </c>
      <c r="D7" s="13" t="s">
        <v>365</v>
      </c>
      <c r="E7" s="7" t="s">
        <v>366</v>
      </c>
      <c r="F7" s="7"/>
      <c r="G7" s="7"/>
    </row>
    <row r="8" customFormat="false" ht="15" hidden="false" customHeight="true" outlineLevel="0" collapsed="false">
      <c r="A8" s="13" t="n">
        <v>4</v>
      </c>
      <c r="B8" s="14" t="s">
        <v>367</v>
      </c>
      <c r="C8" s="55" t="n">
        <v>1</v>
      </c>
      <c r="D8" s="13" t="s">
        <v>360</v>
      </c>
      <c r="E8" s="7" t="s">
        <v>368</v>
      </c>
      <c r="F8" s="7"/>
      <c r="G8" s="7"/>
    </row>
    <row r="9" customFormat="false" ht="15" hidden="false" customHeight="true" outlineLevel="0" collapsed="false">
      <c r="A9" s="13" t="n">
        <v>5</v>
      </c>
      <c r="B9" s="14" t="s">
        <v>369</v>
      </c>
      <c r="C9" s="69" t="n">
        <f aca="false">C6/C8</f>
        <v>250</v>
      </c>
      <c r="D9" s="13" t="s">
        <v>370</v>
      </c>
      <c r="E9" s="7" t="s">
        <v>371</v>
      </c>
      <c r="F9" s="7"/>
      <c r="G9" s="7"/>
    </row>
    <row r="11" customFormat="false" ht="19.5" hidden="false" customHeight="true" outlineLevel="0" collapsed="false">
      <c r="A11" s="3" t="s">
        <v>372</v>
      </c>
      <c r="B11" s="3"/>
      <c r="C11" s="3"/>
      <c r="D11" s="3"/>
      <c r="E11" s="3"/>
      <c r="F11" s="3"/>
      <c r="G11" s="3"/>
    </row>
    <row r="12" customFormat="false" ht="30" hidden="false" customHeight="true" outlineLevel="0" collapsed="false">
      <c r="A12" s="12" t="s">
        <v>204</v>
      </c>
      <c r="B12" s="12" t="s">
        <v>373</v>
      </c>
      <c r="C12" s="12" t="s">
        <v>253</v>
      </c>
      <c r="D12" s="12" t="s">
        <v>206</v>
      </c>
      <c r="E12" s="12" t="s">
        <v>374</v>
      </c>
      <c r="F12" s="12" t="s">
        <v>254</v>
      </c>
      <c r="G12" s="12" t="s">
        <v>256</v>
      </c>
    </row>
    <row r="13" customFormat="false" ht="15" hidden="false" customHeight="false" outlineLevel="0" collapsed="false">
      <c r="A13" s="13" t="n">
        <v>1</v>
      </c>
      <c r="B13" s="14" t="s">
        <v>375</v>
      </c>
      <c r="C13" s="13" t="s">
        <v>376</v>
      </c>
      <c r="D13" s="55" t="n">
        <v>13</v>
      </c>
      <c r="E13" s="70" t="n">
        <v>165000</v>
      </c>
      <c r="F13" s="71" t="n">
        <f aca="false">D13*E13</f>
        <v>2145000</v>
      </c>
      <c r="G13" s="18" t="s">
        <v>377</v>
      </c>
    </row>
    <row r="14" customFormat="false" ht="15" hidden="false" customHeight="false" outlineLevel="0" collapsed="false">
      <c r="A14" s="13" t="n">
        <v>2</v>
      </c>
      <c r="B14" s="14" t="s">
        <v>378</v>
      </c>
      <c r="C14" s="13" t="s">
        <v>376</v>
      </c>
      <c r="D14" s="55" t="n">
        <v>13</v>
      </c>
      <c r="E14" s="70" t="n">
        <v>100000</v>
      </c>
      <c r="F14" s="71" t="n">
        <f aca="false">D14*E14</f>
        <v>1300000</v>
      </c>
      <c r="G14" s="18" t="s">
        <v>379</v>
      </c>
    </row>
    <row r="15" customFormat="false" ht="15" hidden="false" customHeight="false" outlineLevel="0" collapsed="false">
      <c r="A15" s="13" t="n">
        <v>3</v>
      </c>
      <c r="B15" s="14" t="s">
        <v>380</v>
      </c>
      <c r="C15" s="13" t="s">
        <v>376</v>
      </c>
      <c r="D15" s="55" t="n">
        <v>13</v>
      </c>
      <c r="E15" s="70" t="n">
        <v>200000</v>
      </c>
      <c r="F15" s="71" t="n">
        <f aca="false">D15*E15</f>
        <v>2600000</v>
      </c>
      <c r="G15" s="18" t="s">
        <v>381</v>
      </c>
    </row>
    <row r="16" customFormat="false" ht="23.85" hidden="false" customHeight="false" outlineLevel="0" collapsed="false">
      <c r="A16" s="13" t="n">
        <v>4</v>
      </c>
      <c r="B16" s="14" t="s">
        <v>382</v>
      </c>
      <c r="C16" s="13" t="s">
        <v>376</v>
      </c>
      <c r="D16" s="55" t="n">
        <v>250</v>
      </c>
      <c r="E16" s="70" t="n">
        <v>135000</v>
      </c>
      <c r="F16" s="71" t="n">
        <f aca="false">D16*E16</f>
        <v>33750000</v>
      </c>
      <c r="G16" s="18" t="s">
        <v>383</v>
      </c>
    </row>
    <row r="17" customFormat="false" ht="23.85" hidden="false" customHeight="false" outlineLevel="0" collapsed="false">
      <c r="A17" s="13" t="n">
        <v>5</v>
      </c>
      <c r="B17" s="14" t="s">
        <v>384</v>
      </c>
      <c r="C17" s="13" t="s">
        <v>376</v>
      </c>
      <c r="D17" s="55" t="n">
        <v>250</v>
      </c>
      <c r="E17" s="70" t="n">
        <v>370000</v>
      </c>
      <c r="F17" s="71" t="n">
        <f aca="false">D17*E17</f>
        <v>92500000</v>
      </c>
      <c r="G17" s="18" t="s">
        <v>385</v>
      </c>
    </row>
    <row r="18" customFormat="false" ht="15" hidden="false" customHeight="false" outlineLevel="0" collapsed="false">
      <c r="A18" s="13" t="n">
        <v>6</v>
      </c>
      <c r="B18" s="14" t="s">
        <v>386</v>
      </c>
      <c r="C18" s="13" t="s">
        <v>376</v>
      </c>
      <c r="D18" s="55" t="n">
        <v>250</v>
      </c>
      <c r="E18" s="70" t="n">
        <v>100000</v>
      </c>
      <c r="F18" s="71" t="n">
        <f aca="false">D18*E18</f>
        <v>25000000</v>
      </c>
      <c r="G18" s="18" t="s">
        <v>387</v>
      </c>
    </row>
    <row r="19" customFormat="false" ht="15" hidden="false" customHeight="false" outlineLevel="0" collapsed="false">
      <c r="A19" s="13" t="n">
        <v>7</v>
      </c>
      <c r="B19" s="14" t="s">
        <v>388</v>
      </c>
      <c r="C19" s="13" t="s">
        <v>376</v>
      </c>
      <c r="D19" s="55" t="n">
        <v>42</v>
      </c>
      <c r="E19" s="70" t="n">
        <v>1000000</v>
      </c>
      <c r="F19" s="71" t="n">
        <f aca="false">D19*E19</f>
        <v>42000000</v>
      </c>
      <c r="G19" s="18" t="s">
        <v>389</v>
      </c>
    </row>
    <row r="20" customFormat="false" ht="15" hidden="false" customHeight="false" outlineLevel="0" collapsed="false">
      <c r="A20" s="13" t="n">
        <v>8</v>
      </c>
      <c r="B20" s="14" t="s">
        <v>390</v>
      </c>
      <c r="C20" s="13" t="s">
        <v>376</v>
      </c>
      <c r="D20" s="55" t="n">
        <v>5</v>
      </c>
      <c r="E20" s="70" t="n">
        <v>800000</v>
      </c>
      <c r="F20" s="71" t="n">
        <f aca="false">D20*E20</f>
        <v>4000000</v>
      </c>
      <c r="G20" s="18" t="s">
        <v>391</v>
      </c>
    </row>
    <row r="21" customFormat="false" ht="15" hidden="false" customHeight="false" outlineLevel="0" collapsed="false">
      <c r="A21" s="13" t="n">
        <v>9</v>
      </c>
      <c r="B21" s="14" t="s">
        <v>392</v>
      </c>
      <c r="C21" s="13" t="s">
        <v>376</v>
      </c>
      <c r="D21" s="55" t="n">
        <v>40</v>
      </c>
      <c r="E21" s="70" t="n">
        <v>1100000</v>
      </c>
      <c r="F21" s="71" t="n">
        <f aca="false">D21*E21</f>
        <v>44000000</v>
      </c>
      <c r="G21" s="18" t="s">
        <v>393</v>
      </c>
    </row>
    <row r="22" customFormat="false" ht="15" hidden="false" customHeight="false" outlineLevel="0" collapsed="false">
      <c r="A22" s="57"/>
      <c r="B22" s="31" t="s">
        <v>394</v>
      </c>
      <c r="C22" s="57"/>
      <c r="D22" s="57"/>
      <c r="E22" s="57"/>
      <c r="F22" s="72" t="n">
        <f aca="false">SUM(F13:F21)</f>
        <v>247295000</v>
      </c>
      <c r="G22" s="30" t="str">
        <f aca="false">IF(ABS(F22-ChiPhi!$F$13)&lt;1,"Khớp Prelims #6","Lệch Prelims #6")</f>
        <v>Khớp Prelims #6</v>
      </c>
    </row>
    <row r="24" customFormat="false" ht="19.5" hidden="false" customHeight="true" outlineLevel="0" collapsed="false">
      <c r="A24" s="3" t="s">
        <v>395</v>
      </c>
      <c r="B24" s="3"/>
      <c r="C24" s="3"/>
      <c r="D24" s="3"/>
      <c r="E24" s="3"/>
      <c r="F24" s="3"/>
      <c r="G24" s="3"/>
    </row>
    <row r="25" customFormat="false" ht="30" hidden="false" customHeight="true" outlineLevel="0" collapsed="false">
      <c r="A25" s="12" t="s">
        <v>204</v>
      </c>
      <c r="B25" s="12" t="s">
        <v>252</v>
      </c>
      <c r="C25" s="12" t="s">
        <v>253</v>
      </c>
      <c r="D25" s="12" t="s">
        <v>396</v>
      </c>
      <c r="E25" s="12" t="s">
        <v>374</v>
      </c>
      <c r="F25" s="12" t="s">
        <v>254</v>
      </c>
      <c r="G25" s="12" t="s">
        <v>256</v>
      </c>
    </row>
    <row r="26" customFormat="false" ht="15" hidden="false" customHeight="false" outlineLevel="0" collapsed="false">
      <c r="A26" s="13" t="n">
        <v>1</v>
      </c>
      <c r="B26" s="14" t="s">
        <v>397</v>
      </c>
      <c r="C26" s="13" t="s">
        <v>398</v>
      </c>
      <c r="D26" s="65" t="n">
        <v>250</v>
      </c>
      <c r="E26" s="70" t="n">
        <v>43000</v>
      </c>
      <c r="F26" s="71" t="n">
        <f aca="false">D26*E26</f>
        <v>10750000</v>
      </c>
      <c r="G26" s="18" t="s">
        <v>399</v>
      </c>
    </row>
    <row r="27" customFormat="false" ht="15" hidden="false" customHeight="false" outlineLevel="0" collapsed="false">
      <c r="A27" s="13" t="n">
        <v>2</v>
      </c>
      <c r="B27" s="14" t="s">
        <v>400</v>
      </c>
      <c r="C27" s="13" t="s">
        <v>398</v>
      </c>
      <c r="D27" s="65" t="n">
        <v>250</v>
      </c>
      <c r="E27" s="70" t="n">
        <v>30000</v>
      </c>
      <c r="F27" s="71" t="n">
        <f aca="false">D27*E27</f>
        <v>7500000</v>
      </c>
      <c r="G27" s="18" t="s">
        <v>401</v>
      </c>
    </row>
    <row r="28" customFormat="false" ht="15" hidden="false" customHeight="false" outlineLevel="0" collapsed="false">
      <c r="A28" s="13" t="n">
        <v>3</v>
      </c>
      <c r="B28" s="14" t="s">
        <v>402</v>
      </c>
      <c r="C28" s="13" t="s">
        <v>398</v>
      </c>
      <c r="D28" s="65" t="n">
        <v>300</v>
      </c>
      <c r="E28" s="70" t="n">
        <v>30000</v>
      </c>
      <c r="F28" s="71" t="n">
        <f aca="false">D28*E28</f>
        <v>9000000</v>
      </c>
      <c r="G28" s="18" t="s">
        <v>403</v>
      </c>
    </row>
    <row r="29" customFormat="false" ht="15" hidden="false" customHeight="false" outlineLevel="0" collapsed="false">
      <c r="A29" s="13" t="n">
        <v>4</v>
      </c>
      <c r="B29" s="14" t="s">
        <v>404</v>
      </c>
      <c r="C29" s="13" t="s">
        <v>405</v>
      </c>
      <c r="D29" s="65" t="n">
        <v>250</v>
      </c>
      <c r="E29" s="70" t="n">
        <v>85000</v>
      </c>
      <c r="F29" s="71" t="n">
        <f aca="false">D29*E29</f>
        <v>21250000</v>
      </c>
      <c r="G29" s="18" t="s">
        <v>406</v>
      </c>
    </row>
    <row r="30" customFormat="false" ht="15" hidden="false" customHeight="false" outlineLevel="0" collapsed="false">
      <c r="A30" s="13" t="n">
        <v>5</v>
      </c>
      <c r="B30" s="14" t="s">
        <v>407</v>
      </c>
      <c r="C30" s="13" t="s">
        <v>405</v>
      </c>
      <c r="D30" s="65" t="n">
        <v>300</v>
      </c>
      <c r="E30" s="70" t="n">
        <v>45000</v>
      </c>
      <c r="F30" s="71" t="n">
        <f aca="false">D30*E30</f>
        <v>13500000</v>
      </c>
      <c r="G30" s="18" t="s">
        <v>408</v>
      </c>
    </row>
    <row r="31" customFormat="false" ht="15" hidden="false" customHeight="false" outlineLevel="0" collapsed="false">
      <c r="A31" s="13" t="n">
        <v>6</v>
      </c>
      <c r="B31" s="14" t="s">
        <v>409</v>
      </c>
      <c r="C31" s="13" t="s">
        <v>398</v>
      </c>
      <c r="D31" s="65" t="n">
        <v>60</v>
      </c>
      <c r="E31" s="70" t="n">
        <v>100000</v>
      </c>
      <c r="F31" s="71" t="n">
        <f aca="false">D31*E31</f>
        <v>6000000</v>
      </c>
      <c r="G31" s="18" t="s">
        <v>410</v>
      </c>
    </row>
    <row r="32" customFormat="false" ht="15" hidden="false" customHeight="false" outlineLevel="0" collapsed="false">
      <c r="A32" s="13" t="n">
        <v>7</v>
      </c>
      <c r="B32" s="14" t="s">
        <v>411</v>
      </c>
      <c r="C32" s="13" t="s">
        <v>412</v>
      </c>
      <c r="D32" s="65" t="n">
        <v>12</v>
      </c>
      <c r="E32" s="70" t="n">
        <v>175000</v>
      </c>
      <c r="F32" s="71" t="n">
        <f aca="false">D32*E32</f>
        <v>2100000</v>
      </c>
      <c r="G32" s="18" t="s">
        <v>413</v>
      </c>
    </row>
    <row r="33" customFormat="false" ht="15" hidden="false" customHeight="false" outlineLevel="0" collapsed="false">
      <c r="A33" s="13" t="n">
        <v>8</v>
      </c>
      <c r="B33" s="14" t="s">
        <v>414</v>
      </c>
      <c r="C33" s="13" t="s">
        <v>412</v>
      </c>
      <c r="D33" s="65" t="n">
        <v>12</v>
      </c>
      <c r="E33" s="70" t="n">
        <v>175000</v>
      </c>
      <c r="F33" s="71" t="n">
        <f aca="false">D33*E33</f>
        <v>2100000</v>
      </c>
      <c r="G33" s="18" t="s">
        <v>415</v>
      </c>
    </row>
    <row r="34" customFormat="false" ht="15" hidden="false" customHeight="false" outlineLevel="0" collapsed="false">
      <c r="A34" s="13" t="n">
        <v>9</v>
      </c>
      <c r="B34" s="14" t="s">
        <v>416</v>
      </c>
      <c r="C34" s="13" t="s">
        <v>417</v>
      </c>
      <c r="D34" s="65" t="n">
        <v>12</v>
      </c>
      <c r="E34" s="70" t="n">
        <v>1200000</v>
      </c>
      <c r="F34" s="71" t="n">
        <f aca="false">D34*E34</f>
        <v>14400000</v>
      </c>
      <c r="G34" s="18" t="s">
        <v>418</v>
      </c>
    </row>
    <row r="35" customFormat="false" ht="15" hidden="false" customHeight="false" outlineLevel="0" collapsed="false">
      <c r="A35" s="13" t="n">
        <v>10</v>
      </c>
      <c r="B35" s="14" t="s">
        <v>419</v>
      </c>
      <c r="C35" s="13" t="s">
        <v>398</v>
      </c>
      <c r="D35" s="65" t="n">
        <v>50</v>
      </c>
      <c r="E35" s="70" t="n">
        <v>36000</v>
      </c>
      <c r="F35" s="71" t="n">
        <f aca="false">D35*E35</f>
        <v>1800000</v>
      </c>
      <c r="G35" s="18" t="s">
        <v>420</v>
      </c>
    </row>
    <row r="36" customFormat="false" ht="15" hidden="false" customHeight="false" outlineLevel="0" collapsed="false">
      <c r="A36" s="13" t="n">
        <v>11</v>
      </c>
      <c r="B36" s="14" t="s">
        <v>421</v>
      </c>
      <c r="C36" s="13" t="s">
        <v>398</v>
      </c>
      <c r="D36" s="65" t="n">
        <v>50</v>
      </c>
      <c r="E36" s="70" t="n">
        <v>48000</v>
      </c>
      <c r="F36" s="71" t="n">
        <f aca="false">D36*E36</f>
        <v>2400000</v>
      </c>
      <c r="G36" s="18" t="s">
        <v>422</v>
      </c>
    </row>
    <row r="37" customFormat="false" ht="15" hidden="false" customHeight="false" outlineLevel="0" collapsed="false">
      <c r="A37" s="13" t="n">
        <v>12</v>
      </c>
      <c r="B37" s="14" t="s">
        <v>423</v>
      </c>
      <c r="C37" s="13" t="s">
        <v>398</v>
      </c>
      <c r="D37" s="65" t="n">
        <v>50</v>
      </c>
      <c r="E37" s="70" t="n">
        <v>96000</v>
      </c>
      <c r="F37" s="71" t="n">
        <f aca="false">D37*E37</f>
        <v>4800000</v>
      </c>
      <c r="G37" s="18" t="s">
        <v>424</v>
      </c>
    </row>
    <row r="38" customFormat="false" ht="15" hidden="false" customHeight="false" outlineLevel="0" collapsed="false">
      <c r="A38" s="13" t="n">
        <v>13</v>
      </c>
      <c r="B38" s="14" t="s">
        <v>425</v>
      </c>
      <c r="C38" s="13" t="s">
        <v>265</v>
      </c>
      <c r="D38" s="65" t="n">
        <v>4</v>
      </c>
      <c r="E38" s="70" t="n">
        <v>420000</v>
      </c>
      <c r="F38" s="71" t="n">
        <f aca="false">D38*E38</f>
        <v>1680000</v>
      </c>
      <c r="G38" s="18" t="s">
        <v>426</v>
      </c>
    </row>
    <row r="39" customFormat="false" ht="15" hidden="false" customHeight="false" outlineLevel="0" collapsed="false">
      <c r="A39" s="13" t="n">
        <v>14</v>
      </c>
      <c r="B39" s="14" t="s">
        <v>427</v>
      </c>
      <c r="C39" s="13" t="s">
        <v>398</v>
      </c>
      <c r="D39" s="65" t="n">
        <v>50</v>
      </c>
      <c r="E39" s="70" t="n">
        <v>110000</v>
      </c>
      <c r="F39" s="71" t="n">
        <f aca="false">D39*E39</f>
        <v>5500000</v>
      </c>
      <c r="G39" s="18" t="s">
        <v>428</v>
      </c>
    </row>
    <row r="40" customFormat="false" ht="15" hidden="false" customHeight="false" outlineLevel="0" collapsed="false">
      <c r="A40" s="13" t="n">
        <v>15</v>
      </c>
      <c r="B40" s="14" t="s">
        <v>429</v>
      </c>
      <c r="C40" s="13" t="s">
        <v>265</v>
      </c>
      <c r="D40" s="65" t="n">
        <v>1</v>
      </c>
      <c r="E40" s="70" t="n">
        <v>1500000</v>
      </c>
      <c r="F40" s="71" t="n">
        <f aca="false">D40*E40</f>
        <v>1500000</v>
      </c>
      <c r="G40" s="18" t="s">
        <v>430</v>
      </c>
    </row>
    <row r="41" customFormat="false" ht="15" hidden="false" customHeight="false" outlineLevel="0" collapsed="false">
      <c r="A41" s="13" t="n">
        <v>16</v>
      </c>
      <c r="B41" s="14" t="s">
        <v>431</v>
      </c>
      <c r="C41" s="13" t="s">
        <v>265</v>
      </c>
      <c r="D41" s="65" t="n">
        <v>1</v>
      </c>
      <c r="E41" s="70" t="n">
        <v>2700000</v>
      </c>
      <c r="F41" s="71" t="n">
        <f aca="false">D41*E41</f>
        <v>2700000</v>
      </c>
      <c r="G41" s="18" t="s">
        <v>432</v>
      </c>
    </row>
    <row r="42" customFormat="false" ht="15" hidden="false" customHeight="false" outlineLevel="0" collapsed="false">
      <c r="A42" s="13" t="n">
        <v>17</v>
      </c>
      <c r="B42" s="14" t="s">
        <v>433</v>
      </c>
      <c r="C42" s="13" t="s">
        <v>265</v>
      </c>
      <c r="D42" s="65" t="n">
        <v>1</v>
      </c>
      <c r="E42" s="70" t="n">
        <v>1500000</v>
      </c>
      <c r="F42" s="71" t="n">
        <f aca="false">D42*E42</f>
        <v>1500000</v>
      </c>
      <c r="G42" s="18" t="s">
        <v>434</v>
      </c>
    </row>
    <row r="43" customFormat="false" ht="15" hidden="false" customHeight="false" outlineLevel="0" collapsed="false">
      <c r="A43" s="13" t="n">
        <v>18</v>
      </c>
      <c r="B43" s="14" t="s">
        <v>435</v>
      </c>
      <c r="C43" s="13" t="s">
        <v>265</v>
      </c>
      <c r="D43" s="65" t="n">
        <v>350</v>
      </c>
      <c r="E43" s="70" t="n">
        <v>27000</v>
      </c>
      <c r="F43" s="71" t="n">
        <f aca="false">D43*E43</f>
        <v>9450000</v>
      </c>
      <c r="G43" s="18" t="s">
        <v>436</v>
      </c>
    </row>
    <row r="44" customFormat="false" ht="15" hidden="false" customHeight="false" outlineLevel="0" collapsed="false">
      <c r="A44" s="13" t="n">
        <v>19</v>
      </c>
      <c r="B44" s="14" t="s">
        <v>437</v>
      </c>
      <c r="C44" s="13" t="s">
        <v>398</v>
      </c>
      <c r="D44" s="65" t="n">
        <v>50</v>
      </c>
      <c r="E44" s="70" t="n">
        <v>95000</v>
      </c>
      <c r="F44" s="71" t="n">
        <f aca="false">D44*E44</f>
        <v>4750000</v>
      </c>
      <c r="G44" s="18" t="s">
        <v>438</v>
      </c>
    </row>
    <row r="45" customFormat="false" ht="15" hidden="false" customHeight="false" outlineLevel="0" collapsed="false">
      <c r="A45" s="13" t="n">
        <v>20</v>
      </c>
      <c r="B45" s="14" t="s">
        <v>439</v>
      </c>
      <c r="C45" s="13" t="s">
        <v>398</v>
      </c>
      <c r="D45" s="65" t="n">
        <v>20</v>
      </c>
      <c r="E45" s="70" t="n">
        <v>910000</v>
      </c>
      <c r="F45" s="71" t="n">
        <f aca="false">D45*E45</f>
        <v>18200000</v>
      </c>
      <c r="G45" s="18" t="s">
        <v>440</v>
      </c>
    </row>
    <row r="46" customFormat="false" ht="15" hidden="false" customHeight="false" outlineLevel="0" collapsed="false">
      <c r="A46" s="13" t="n">
        <v>21</v>
      </c>
      <c r="B46" s="14" t="s">
        <v>441</v>
      </c>
      <c r="C46" s="13" t="s">
        <v>442</v>
      </c>
      <c r="D46" s="65" t="n">
        <v>150</v>
      </c>
      <c r="E46" s="70" t="n">
        <v>26500</v>
      </c>
      <c r="F46" s="71" t="n">
        <f aca="false">D46*E46</f>
        <v>3975000</v>
      </c>
      <c r="G46" s="18" t="s">
        <v>443</v>
      </c>
    </row>
    <row r="47" customFormat="false" ht="15" hidden="false" customHeight="false" outlineLevel="0" collapsed="false">
      <c r="A47" s="13" t="n">
        <v>22</v>
      </c>
      <c r="B47" s="14" t="s">
        <v>444</v>
      </c>
      <c r="C47" s="13" t="s">
        <v>398</v>
      </c>
      <c r="D47" s="65" t="n">
        <v>4</v>
      </c>
      <c r="E47" s="70" t="n">
        <v>168000</v>
      </c>
      <c r="F47" s="71" t="n">
        <f aca="false">D47*E47</f>
        <v>672000</v>
      </c>
      <c r="G47" s="18" t="s">
        <v>445</v>
      </c>
    </row>
    <row r="48" customFormat="false" ht="15" hidden="false" customHeight="false" outlineLevel="0" collapsed="false">
      <c r="A48" s="13" t="n">
        <v>23</v>
      </c>
      <c r="B48" s="14" t="s">
        <v>446</v>
      </c>
      <c r="C48" s="13" t="s">
        <v>398</v>
      </c>
      <c r="D48" s="65" t="n">
        <v>2</v>
      </c>
      <c r="E48" s="70" t="n">
        <v>168000</v>
      </c>
      <c r="F48" s="71" t="n">
        <f aca="false">D48*E48</f>
        <v>336000</v>
      </c>
      <c r="G48" s="18" t="s">
        <v>447</v>
      </c>
    </row>
    <row r="49" customFormat="false" ht="15" hidden="false" customHeight="false" outlineLevel="0" collapsed="false">
      <c r="A49" s="13" t="n">
        <v>24</v>
      </c>
      <c r="B49" s="14" t="s">
        <v>448</v>
      </c>
      <c r="C49" s="13" t="s">
        <v>398</v>
      </c>
      <c r="D49" s="65" t="n">
        <v>6</v>
      </c>
      <c r="E49" s="70" t="n">
        <v>50000</v>
      </c>
      <c r="F49" s="71" t="n">
        <f aca="false">D49*E49</f>
        <v>300000</v>
      </c>
      <c r="G49" s="18" t="s">
        <v>449</v>
      </c>
    </row>
    <row r="51" customFormat="false" ht="19.5" hidden="false" customHeight="true" outlineLevel="0" collapsed="false">
      <c r="A51" s="3" t="s">
        <v>450</v>
      </c>
      <c r="B51" s="3"/>
      <c r="C51" s="3"/>
      <c r="D51" s="3"/>
      <c r="E51" s="3"/>
      <c r="F51" s="3"/>
      <c r="G51" s="3"/>
    </row>
    <row r="52" customFormat="false" ht="30" hidden="false" customHeight="true" outlineLevel="0" collapsed="false">
      <c r="A52" s="12" t="s">
        <v>204</v>
      </c>
      <c r="B52" s="12" t="s">
        <v>451</v>
      </c>
      <c r="C52" s="12" t="s">
        <v>452</v>
      </c>
      <c r="D52" s="12" t="s">
        <v>453</v>
      </c>
      <c r="E52" s="12" t="s">
        <v>454</v>
      </c>
      <c r="F52" s="12" t="s">
        <v>455</v>
      </c>
      <c r="G52" s="12" t="s">
        <v>456</v>
      </c>
    </row>
    <row r="53" customFormat="false" ht="51.75" hidden="false" customHeight="true" outlineLevel="0" collapsed="false">
      <c r="A53" s="13" t="n">
        <v>1</v>
      </c>
      <c r="B53" s="14" t="s">
        <v>457</v>
      </c>
      <c r="C53" s="15" t="n">
        <f aca="false">TienDo!$F$10</f>
        <v>46218</v>
      </c>
      <c r="D53" s="15" t="n">
        <f aca="false">TienDo!$G$12</f>
        <v>46278</v>
      </c>
      <c r="E53" s="18" t="s">
        <v>458</v>
      </c>
      <c r="F53" s="18" t="s">
        <v>459</v>
      </c>
      <c r="G53" s="18" t="s">
        <v>460</v>
      </c>
    </row>
    <row r="54" customFormat="false" ht="51.75" hidden="false" customHeight="true" outlineLevel="0" collapsed="false">
      <c r="A54" s="13" t="n">
        <v>2</v>
      </c>
      <c r="B54" s="14" t="s">
        <v>461</v>
      </c>
      <c r="C54" s="15" t="n">
        <f aca="false">TienDo!$F$21</f>
        <v>46240</v>
      </c>
      <c r="D54" s="15" t="n">
        <f aca="false">TienDo!$G$45</f>
        <v>46280</v>
      </c>
      <c r="E54" s="18" t="s">
        <v>462</v>
      </c>
      <c r="F54" s="18" t="s">
        <v>463</v>
      </c>
      <c r="G54" s="18" t="s">
        <v>464</v>
      </c>
    </row>
    <row r="55" customFormat="false" ht="51.75" hidden="false" customHeight="true" outlineLevel="0" collapsed="false">
      <c r="A55" s="13" t="n">
        <v>3</v>
      </c>
      <c r="B55" s="14" t="s">
        <v>465</v>
      </c>
      <c r="C55" s="15" t="n">
        <f aca="false">TienDo!$F$47</f>
        <v>46265</v>
      </c>
      <c r="D55" s="15" t="n">
        <f aca="false">TienDo!$G$49</f>
        <v>46385</v>
      </c>
      <c r="E55" s="18" t="s">
        <v>466</v>
      </c>
      <c r="F55" s="18" t="s">
        <v>467</v>
      </c>
      <c r="G55" s="18" t="s">
        <v>468</v>
      </c>
    </row>
    <row r="56" customFormat="false" ht="51.75" hidden="false" customHeight="true" outlineLevel="0" collapsed="false">
      <c r="A56" s="13" t="n">
        <v>4</v>
      </c>
      <c r="B56" s="14" t="s">
        <v>469</v>
      </c>
      <c r="C56" s="15" t="n">
        <f aca="false">TienDo!$F$52</f>
        <v>46282</v>
      </c>
      <c r="D56" s="15" t="n">
        <f aca="false">TienDo!$G$55</f>
        <v>46372</v>
      </c>
      <c r="E56" s="18" t="s">
        <v>470</v>
      </c>
      <c r="F56" s="18" t="s">
        <v>471</v>
      </c>
      <c r="G56" s="18" t="s">
        <v>472</v>
      </c>
    </row>
    <row r="57" customFormat="false" ht="51.75" hidden="false" customHeight="true" outlineLevel="0" collapsed="false">
      <c r="A57" s="13" t="n">
        <v>5</v>
      </c>
      <c r="B57" s="14" t="s">
        <v>473</v>
      </c>
      <c r="C57" s="15" t="n">
        <f aca="false">TienDo!$F$57</f>
        <v>46305</v>
      </c>
      <c r="D57" s="15" t="n">
        <f aca="false">TienDo!$G$58</f>
        <v>46395</v>
      </c>
      <c r="E57" s="18" t="s">
        <v>474</v>
      </c>
      <c r="F57" s="18" t="s">
        <v>475</v>
      </c>
      <c r="G57" s="18" t="s">
        <v>476</v>
      </c>
    </row>
    <row r="58" customFormat="false" ht="51.75" hidden="false" customHeight="true" outlineLevel="0" collapsed="false">
      <c r="A58" s="13" t="n">
        <v>6</v>
      </c>
      <c r="B58" s="14" t="s">
        <v>477</v>
      </c>
      <c r="C58" s="15" t="n">
        <f aca="false">TienDo!$F$34</f>
        <v>46278</v>
      </c>
      <c r="D58" s="15" t="n">
        <f aca="false">TienDo!$G$35</f>
        <v>46398</v>
      </c>
      <c r="E58" s="18" t="s">
        <v>478</v>
      </c>
      <c r="F58" s="18" t="s">
        <v>479</v>
      </c>
      <c r="G58" s="18" t="s">
        <v>480</v>
      </c>
    </row>
    <row r="59" customFormat="false" ht="51.75" hidden="false" customHeight="true" outlineLevel="0" collapsed="false">
      <c r="A59" s="13" t="n">
        <v>7</v>
      </c>
      <c r="B59" s="14" t="s">
        <v>481</v>
      </c>
      <c r="C59" s="15" t="n">
        <f aca="false">TienDo!$F$36</f>
        <v>46293</v>
      </c>
      <c r="D59" s="15" t="n">
        <f aca="false">TienDo!$G$92</f>
        <v>46464</v>
      </c>
      <c r="E59" s="18" t="s">
        <v>482</v>
      </c>
      <c r="F59" s="18" t="s">
        <v>483</v>
      </c>
      <c r="G59" s="18" t="s">
        <v>484</v>
      </c>
    </row>
  </sheetData>
  <mergeCells count="12">
    <mergeCell ref="A1:G1"/>
    <mergeCell ref="A2:G2"/>
    <mergeCell ref="A3:G3"/>
    <mergeCell ref="E4:G4"/>
    <mergeCell ref="E5:G5"/>
    <mergeCell ref="E6:G6"/>
    <mergeCell ref="E7:G7"/>
    <mergeCell ref="E8:G8"/>
    <mergeCell ref="E9:G9"/>
    <mergeCell ref="A11:G11"/>
    <mergeCell ref="A24:G24"/>
    <mergeCell ref="A51:G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H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4" min="3" style="0" width="9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9"/>
    <col collapsed="false" customWidth="true" hidden="false" outlineLevel="0" max="8" min="8" style="0" width="52"/>
  </cols>
  <sheetData>
    <row r="1" customFormat="false" ht="24" hidden="false" customHeight="true" outlineLevel="0" collapsed="false">
      <c r="A1" s="1" t="s">
        <v>485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486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12" t="s">
        <v>204</v>
      </c>
      <c r="B4" s="12" t="s">
        <v>487</v>
      </c>
      <c r="C4" s="12" t="s">
        <v>253</v>
      </c>
      <c r="D4" s="12" t="s">
        <v>488</v>
      </c>
      <c r="E4" s="12" t="s">
        <v>374</v>
      </c>
      <c r="F4" s="12" t="s">
        <v>254</v>
      </c>
      <c r="G4" s="12" t="s">
        <v>489</v>
      </c>
      <c r="H4" s="12" t="s">
        <v>490</v>
      </c>
    </row>
    <row r="5" customFormat="false" ht="15" hidden="false" customHeight="false" outlineLevel="0" collapsed="false">
      <c r="A5" s="73"/>
      <c r="B5" s="74" t="s">
        <v>491</v>
      </c>
      <c r="C5" s="75"/>
      <c r="D5" s="75"/>
      <c r="E5" s="75"/>
      <c r="F5" s="76" t="n">
        <f aca="false">F6+F11+F16+F30+F36+F42+F51+F54+F57+F61+F66</f>
        <v>15470111739.2818</v>
      </c>
      <c r="G5" s="77" t="n">
        <f aca="false">F5/$F$5</f>
        <v>1</v>
      </c>
      <c r="H5" s="75"/>
    </row>
    <row r="6" customFormat="false" ht="15" hidden="false" customHeight="false" outlineLevel="0" collapsed="false">
      <c r="A6" s="29" t="s">
        <v>492</v>
      </c>
      <c r="B6" s="31" t="s">
        <v>493</v>
      </c>
      <c r="C6" s="57"/>
      <c r="D6" s="57"/>
      <c r="E6" s="57"/>
      <c r="F6" s="72" t="n">
        <f aca="false">SUM(F7:F10)</f>
        <v>374400000</v>
      </c>
      <c r="G6" s="78" t="n">
        <f aca="false">F6/$F$5</f>
        <v>0.0242015058656184</v>
      </c>
      <c r="H6" s="38" t="s">
        <v>494</v>
      </c>
    </row>
    <row r="7" customFormat="false" ht="15" hidden="false" customHeight="false" outlineLevel="0" collapsed="false">
      <c r="A7" s="13" t="s">
        <v>495</v>
      </c>
      <c r="B7" s="79" t="s">
        <v>496</v>
      </c>
      <c r="C7" s="13" t="s">
        <v>258</v>
      </c>
      <c r="D7" s="65" t="n">
        <v>1</v>
      </c>
      <c r="E7" s="70" t="n">
        <v>28800000</v>
      </c>
      <c r="F7" s="70" t="n">
        <v>28800000</v>
      </c>
      <c r="G7" s="80" t="n">
        <f aca="false">F7/$F$5</f>
        <v>0.00186165429735526</v>
      </c>
      <c r="H7" s="18"/>
    </row>
    <row r="8" customFormat="false" ht="15" hidden="false" customHeight="false" outlineLevel="0" collapsed="false">
      <c r="A8" s="13" t="s">
        <v>497</v>
      </c>
      <c r="B8" s="79" t="s">
        <v>498</v>
      </c>
      <c r="C8" s="13" t="s">
        <v>258</v>
      </c>
      <c r="D8" s="65" t="n">
        <v>1</v>
      </c>
      <c r="E8" s="70" t="n">
        <v>129600000</v>
      </c>
      <c r="F8" s="70" t="n">
        <v>129600000</v>
      </c>
      <c r="G8" s="80" t="n">
        <f aca="false">F8/$F$5</f>
        <v>0.00837744433809867</v>
      </c>
      <c r="H8" s="18"/>
    </row>
    <row r="9" customFormat="false" ht="15" hidden="false" customHeight="false" outlineLevel="0" collapsed="false">
      <c r="A9" s="13" t="s">
        <v>499</v>
      </c>
      <c r="B9" s="79" t="s">
        <v>500</v>
      </c>
      <c r="C9" s="13" t="s">
        <v>258</v>
      </c>
      <c r="D9" s="65" t="n">
        <v>1</v>
      </c>
      <c r="E9" s="70" t="n">
        <v>43200000</v>
      </c>
      <c r="F9" s="70" t="n">
        <v>43200000</v>
      </c>
      <c r="G9" s="80" t="n">
        <f aca="false">F9/$F$5</f>
        <v>0.00279248144603289</v>
      </c>
      <c r="H9" s="18"/>
    </row>
    <row r="10" customFormat="false" ht="15" hidden="false" customHeight="false" outlineLevel="0" collapsed="false">
      <c r="A10" s="13" t="s">
        <v>501</v>
      </c>
      <c r="B10" s="79" t="s">
        <v>502</v>
      </c>
      <c r="C10" s="13" t="s">
        <v>258</v>
      </c>
      <c r="D10" s="65" t="n">
        <v>1</v>
      </c>
      <c r="E10" s="70" t="n">
        <v>172800000</v>
      </c>
      <c r="F10" s="70" t="n">
        <v>172800000</v>
      </c>
      <c r="G10" s="80" t="n">
        <f aca="false">F10/$F$5</f>
        <v>0.0111699257841316</v>
      </c>
      <c r="H10" s="18"/>
    </row>
    <row r="11" customFormat="false" ht="15" hidden="false" customHeight="false" outlineLevel="0" collapsed="false">
      <c r="A11" s="29" t="s">
        <v>503</v>
      </c>
      <c r="B11" s="31" t="s">
        <v>504</v>
      </c>
      <c r="C11" s="57"/>
      <c r="D11" s="57"/>
      <c r="E11" s="57"/>
      <c r="F11" s="72" t="n">
        <f aca="false">SUM(F12:F15)</f>
        <v>794072620.385294</v>
      </c>
      <c r="G11" s="78" t="n">
        <f aca="false">F11/$F$5</f>
        <v>0.0513294689636262</v>
      </c>
      <c r="H11" s="38" t="s">
        <v>505</v>
      </c>
    </row>
    <row r="12" customFormat="false" ht="15" hidden="false" customHeight="false" outlineLevel="0" collapsed="false">
      <c r="A12" s="13" t="s">
        <v>506</v>
      </c>
      <c r="B12" s="79" t="s">
        <v>507</v>
      </c>
      <c r="C12" s="13" t="s">
        <v>258</v>
      </c>
      <c r="D12" s="65" t="n">
        <v>1</v>
      </c>
      <c r="E12" s="70" t="n">
        <v>21777620.3852941</v>
      </c>
      <c r="F12" s="70" t="n">
        <v>21777620.3852941</v>
      </c>
      <c r="G12" s="80" t="n">
        <f aca="false">F12/$F$5</f>
        <v>0.001407722242238</v>
      </c>
      <c r="H12" s="18"/>
    </row>
    <row r="13" customFormat="false" ht="15" hidden="false" customHeight="false" outlineLevel="0" collapsed="false">
      <c r="A13" s="13" t="s">
        <v>508</v>
      </c>
      <c r="B13" s="79" t="s">
        <v>509</v>
      </c>
      <c r="C13" s="13" t="s">
        <v>258</v>
      </c>
      <c r="D13" s="65" t="n">
        <v>1</v>
      </c>
      <c r="E13" s="70" t="n">
        <v>247295000</v>
      </c>
      <c r="F13" s="70" t="n">
        <v>247295000</v>
      </c>
      <c r="G13" s="80" t="n">
        <f aca="false">F13/$F$5</f>
        <v>0.0159853402591829</v>
      </c>
      <c r="H13" s="18"/>
    </row>
    <row r="14" customFormat="false" ht="23.85" hidden="false" customHeight="false" outlineLevel="0" collapsed="false">
      <c r="A14" s="13" t="s">
        <v>510</v>
      </c>
      <c r="B14" s="79" t="s">
        <v>511</v>
      </c>
      <c r="C14" s="13" t="s">
        <v>258</v>
      </c>
      <c r="D14" s="65" t="n">
        <v>1</v>
      </c>
      <c r="E14" s="70" t="n">
        <v>525000000</v>
      </c>
      <c r="F14" s="70" t="n">
        <v>525000000</v>
      </c>
      <c r="G14" s="80" t="n">
        <f aca="false">F14/$F$5</f>
        <v>0.0339364064622053</v>
      </c>
      <c r="H14" s="18"/>
    </row>
    <row r="15" customFormat="false" ht="15" hidden="false" customHeight="false" outlineLevel="0" collapsed="false">
      <c r="A15" s="13" t="s">
        <v>512</v>
      </c>
      <c r="B15" s="79" t="s">
        <v>513</v>
      </c>
      <c r="C15" s="13" t="s">
        <v>258</v>
      </c>
      <c r="D15" s="65" t="n">
        <v>1</v>
      </c>
      <c r="E15" s="70" t="n">
        <v>0</v>
      </c>
      <c r="F15" s="70" t="n">
        <v>0</v>
      </c>
      <c r="G15" s="80" t="n">
        <f aca="false">F15/$F$5</f>
        <v>0</v>
      </c>
      <c r="H15" s="18" t="s">
        <v>514</v>
      </c>
    </row>
    <row r="16" customFormat="false" ht="15" hidden="false" customHeight="false" outlineLevel="0" collapsed="false">
      <c r="A16" s="29" t="s">
        <v>515</v>
      </c>
      <c r="B16" s="31" t="s">
        <v>516</v>
      </c>
      <c r="C16" s="57"/>
      <c r="D16" s="57"/>
      <c r="E16" s="57"/>
      <c r="F16" s="72" t="n">
        <f aca="false">SUM(F17:F29)</f>
        <v>1411559633.33333</v>
      </c>
      <c r="G16" s="78" t="n">
        <f aca="false">F16/$F$5</f>
        <v>0.0912443075475074</v>
      </c>
      <c r="H16" s="38" t="s">
        <v>517</v>
      </c>
    </row>
    <row r="17" customFormat="false" ht="15" hidden="false" customHeight="false" outlineLevel="0" collapsed="false">
      <c r="A17" s="13" t="s">
        <v>518</v>
      </c>
      <c r="B17" s="79" t="s">
        <v>519</v>
      </c>
      <c r="C17" s="13" t="s">
        <v>258</v>
      </c>
      <c r="D17" s="65" t="n">
        <v>1</v>
      </c>
      <c r="E17" s="70" t="n">
        <v>0</v>
      </c>
      <c r="F17" s="70" t="n">
        <v>0</v>
      </c>
      <c r="G17" s="80" t="n">
        <f aca="false">F17/$F$5</f>
        <v>0</v>
      </c>
      <c r="H17" s="18"/>
    </row>
    <row r="18" customFormat="false" ht="15" hidden="false" customHeight="false" outlineLevel="0" collapsed="false">
      <c r="A18" s="13" t="s">
        <v>520</v>
      </c>
      <c r="B18" s="79" t="s">
        <v>521</v>
      </c>
      <c r="C18" s="13" t="s">
        <v>258</v>
      </c>
      <c r="D18" s="65" t="n">
        <v>1</v>
      </c>
      <c r="E18" s="70" t="n">
        <v>0</v>
      </c>
      <c r="F18" s="70" t="n">
        <v>0</v>
      </c>
      <c r="G18" s="80" t="n">
        <f aca="false">F18/$F$5</f>
        <v>0</v>
      </c>
      <c r="H18" s="18"/>
    </row>
    <row r="19" customFormat="false" ht="15" hidden="false" customHeight="false" outlineLevel="0" collapsed="false">
      <c r="A19" s="13" t="s">
        <v>522</v>
      </c>
      <c r="B19" s="79" t="s">
        <v>523</v>
      </c>
      <c r="C19" s="13" t="s">
        <v>258</v>
      </c>
      <c r="D19" s="65" t="n">
        <v>1</v>
      </c>
      <c r="E19" s="70" t="n">
        <v>104925460</v>
      </c>
      <c r="F19" s="70" t="n">
        <v>104925460</v>
      </c>
      <c r="G19" s="80" t="n">
        <f aca="false">F19/$F$5</f>
        <v>0.00678246296913116</v>
      </c>
      <c r="H19" s="18"/>
    </row>
    <row r="20" customFormat="false" ht="15" hidden="false" customHeight="false" outlineLevel="0" collapsed="false">
      <c r="A20" s="13" t="s">
        <v>524</v>
      </c>
      <c r="B20" s="79" t="s">
        <v>525</v>
      </c>
      <c r="C20" s="13" t="s">
        <v>258</v>
      </c>
      <c r="D20" s="65" t="n">
        <v>1</v>
      </c>
      <c r="E20" s="70" t="n">
        <v>49683333.3333333</v>
      </c>
      <c r="F20" s="70" t="n">
        <v>49683333.3333333</v>
      </c>
      <c r="G20" s="80" t="n">
        <f aca="false">F20/$F$5</f>
        <v>0.0032115691321852</v>
      </c>
      <c r="H20" s="18"/>
    </row>
    <row r="21" customFormat="false" ht="15" hidden="false" customHeight="false" outlineLevel="0" collapsed="false">
      <c r="A21" s="13" t="s">
        <v>526</v>
      </c>
      <c r="B21" s="79" t="s">
        <v>527</v>
      </c>
      <c r="C21" s="13" t="s">
        <v>258</v>
      </c>
      <c r="D21" s="65" t="n">
        <v>1</v>
      </c>
      <c r="E21" s="70" t="n">
        <v>0</v>
      </c>
      <c r="F21" s="70" t="n">
        <v>0</v>
      </c>
      <c r="G21" s="80" t="n">
        <f aca="false">F21/$F$5</f>
        <v>0</v>
      </c>
      <c r="H21" s="18"/>
    </row>
    <row r="22" customFormat="false" ht="15" hidden="false" customHeight="false" outlineLevel="0" collapsed="false">
      <c r="A22" s="13" t="s">
        <v>528</v>
      </c>
      <c r="B22" s="79" t="s">
        <v>529</v>
      </c>
      <c r="C22" s="13" t="s">
        <v>258</v>
      </c>
      <c r="D22" s="65" t="n">
        <v>1</v>
      </c>
      <c r="E22" s="70" t="n">
        <v>25230840</v>
      </c>
      <c r="F22" s="70" t="n">
        <v>25230840</v>
      </c>
      <c r="G22" s="80" t="n">
        <f aca="false">F22/$F$5</f>
        <v>0.0016309410316626</v>
      </c>
      <c r="H22" s="18"/>
    </row>
    <row r="23" customFormat="false" ht="23.85" hidden="false" customHeight="false" outlineLevel="0" collapsed="false">
      <c r="A23" s="13" t="s">
        <v>530</v>
      </c>
      <c r="B23" s="79" t="s">
        <v>531</v>
      </c>
      <c r="C23" s="13" t="s">
        <v>258</v>
      </c>
      <c r="D23" s="65" t="n">
        <v>1</v>
      </c>
      <c r="E23" s="70" t="n">
        <v>56720000</v>
      </c>
      <c r="F23" s="70" t="n">
        <v>56720000</v>
      </c>
      <c r="G23" s="80" t="n">
        <f aca="false">F23/$F$5</f>
        <v>0.00366642471340244</v>
      </c>
      <c r="H23" s="18"/>
    </row>
    <row r="24" customFormat="false" ht="15" hidden="false" customHeight="false" outlineLevel="0" collapsed="false">
      <c r="A24" s="13" t="s">
        <v>532</v>
      </c>
      <c r="B24" s="79" t="s">
        <v>533</v>
      </c>
      <c r="C24" s="13" t="s">
        <v>258</v>
      </c>
      <c r="D24" s="65" t="n">
        <v>1</v>
      </c>
      <c r="E24" s="70" t="n">
        <v>0</v>
      </c>
      <c r="F24" s="70" t="n">
        <v>0</v>
      </c>
      <c r="G24" s="80" t="n">
        <f aca="false">F24/$F$5</f>
        <v>0</v>
      </c>
      <c r="H24" s="18"/>
    </row>
    <row r="25" customFormat="false" ht="15" hidden="false" customHeight="false" outlineLevel="0" collapsed="false">
      <c r="A25" s="13" t="s">
        <v>534</v>
      </c>
      <c r="B25" s="79" t="s">
        <v>535</v>
      </c>
      <c r="C25" s="13" t="s">
        <v>258</v>
      </c>
      <c r="D25" s="65" t="n">
        <v>1</v>
      </c>
      <c r="E25" s="70" t="n">
        <v>0</v>
      </c>
      <c r="F25" s="70" t="n">
        <v>0</v>
      </c>
      <c r="G25" s="80" t="n">
        <f aca="false">F25/$F$5</f>
        <v>0</v>
      </c>
      <c r="H25" s="18"/>
    </row>
    <row r="26" customFormat="false" ht="15" hidden="false" customHeight="false" outlineLevel="0" collapsed="false">
      <c r="A26" s="13" t="s">
        <v>536</v>
      </c>
      <c r="B26" s="79" t="s">
        <v>537</v>
      </c>
      <c r="C26" s="13" t="s">
        <v>258</v>
      </c>
      <c r="D26" s="65" t="n">
        <v>1</v>
      </c>
      <c r="E26" s="70" t="n">
        <v>1098300000</v>
      </c>
      <c r="F26" s="70" t="n">
        <v>1098300000</v>
      </c>
      <c r="G26" s="80" t="n">
        <f aca="false">F26/$F$5</f>
        <v>0.0709949623189334</v>
      </c>
      <c r="H26" s="18" t="s">
        <v>538</v>
      </c>
    </row>
    <row r="27" customFormat="false" ht="15" hidden="false" customHeight="false" outlineLevel="0" collapsed="false">
      <c r="A27" s="13" t="s">
        <v>539</v>
      </c>
      <c r="B27" s="79" t="s">
        <v>540</v>
      </c>
      <c r="C27" s="13" t="s">
        <v>258</v>
      </c>
      <c r="D27" s="65" t="n">
        <v>1</v>
      </c>
      <c r="E27" s="70" t="n">
        <v>11700000</v>
      </c>
      <c r="F27" s="70" t="n">
        <v>11700000</v>
      </c>
      <c r="G27" s="80" t="n">
        <f aca="false">F27/$F$5</f>
        <v>0.000756297058300574</v>
      </c>
      <c r="H27" s="18"/>
    </row>
    <row r="28" customFormat="false" ht="15" hidden="false" customHeight="false" outlineLevel="0" collapsed="false">
      <c r="A28" s="13" t="s">
        <v>541</v>
      </c>
      <c r="B28" s="79" t="s">
        <v>542</v>
      </c>
      <c r="C28" s="13" t="s">
        <v>258</v>
      </c>
      <c r="D28" s="65" t="n">
        <v>1</v>
      </c>
      <c r="E28" s="70" t="n">
        <v>5000000</v>
      </c>
      <c r="F28" s="70" t="n">
        <v>5000000</v>
      </c>
      <c r="G28" s="80" t="n">
        <f aca="false">F28/$F$5</f>
        <v>0.000323203871068621</v>
      </c>
      <c r="H28" s="18"/>
    </row>
    <row r="29" customFormat="false" ht="15" hidden="false" customHeight="false" outlineLevel="0" collapsed="false">
      <c r="A29" s="13" t="s">
        <v>543</v>
      </c>
      <c r="B29" s="79" t="s">
        <v>544</v>
      </c>
      <c r="C29" s="13" t="s">
        <v>258</v>
      </c>
      <c r="D29" s="65" t="n">
        <v>1</v>
      </c>
      <c r="E29" s="70" t="n">
        <v>60000000</v>
      </c>
      <c r="F29" s="70" t="n">
        <v>60000000</v>
      </c>
      <c r="G29" s="80" t="n">
        <f aca="false">F29/$F$5</f>
        <v>0.00387844645282346</v>
      </c>
      <c r="H29" s="18"/>
    </row>
    <row r="30" customFormat="false" ht="15" hidden="false" customHeight="false" outlineLevel="0" collapsed="false">
      <c r="A30" s="29" t="s">
        <v>545</v>
      </c>
      <c r="B30" s="31" t="s">
        <v>546</v>
      </c>
      <c r="C30" s="57"/>
      <c r="D30" s="57"/>
      <c r="E30" s="57"/>
      <c r="F30" s="72" t="n">
        <f aca="false">SUM(F31:F35)</f>
        <v>271371175</v>
      </c>
      <c r="G30" s="78" t="n">
        <f aca="false">F30/$F$5</f>
        <v>0.0175416428512881</v>
      </c>
      <c r="H30" s="38" t="s">
        <v>547</v>
      </c>
    </row>
    <row r="31" customFormat="false" ht="15" hidden="false" customHeight="false" outlineLevel="0" collapsed="false">
      <c r="A31" s="13" t="s">
        <v>548</v>
      </c>
      <c r="B31" s="79" t="s">
        <v>549</v>
      </c>
      <c r="C31" s="13" t="s">
        <v>258</v>
      </c>
      <c r="D31" s="65" t="n">
        <v>1</v>
      </c>
      <c r="E31" s="70" t="n">
        <v>6000000</v>
      </c>
      <c r="F31" s="70" t="n">
        <v>6000000</v>
      </c>
      <c r="G31" s="80" t="n">
        <f aca="false">F31/$F$5</f>
        <v>0.000387844645282346</v>
      </c>
      <c r="H31" s="18"/>
    </row>
    <row r="32" customFormat="false" ht="15" hidden="false" customHeight="false" outlineLevel="0" collapsed="false">
      <c r="A32" s="13" t="s">
        <v>550</v>
      </c>
      <c r="B32" s="79" t="s">
        <v>551</v>
      </c>
      <c r="C32" s="13" t="s">
        <v>258</v>
      </c>
      <c r="D32" s="65" t="n">
        <v>1</v>
      </c>
      <c r="E32" s="70" t="n">
        <v>171000000</v>
      </c>
      <c r="F32" s="70" t="n">
        <v>171000000</v>
      </c>
      <c r="G32" s="80" t="n">
        <f aca="false">F32/$F$5</f>
        <v>0.0110535723905469</v>
      </c>
      <c r="H32" s="18"/>
    </row>
    <row r="33" customFormat="false" ht="15" hidden="false" customHeight="false" outlineLevel="0" collapsed="false">
      <c r="A33" s="13" t="s">
        <v>552</v>
      </c>
      <c r="B33" s="79" t="s">
        <v>553</v>
      </c>
      <c r="C33" s="13" t="s">
        <v>258</v>
      </c>
      <c r="D33" s="65" t="n">
        <v>1</v>
      </c>
      <c r="E33" s="70" t="n">
        <v>4060000</v>
      </c>
      <c r="F33" s="70" t="n">
        <v>4060000</v>
      </c>
      <c r="G33" s="80" t="n">
        <f aca="false">F33/$F$5</f>
        <v>0.000262441543307721</v>
      </c>
      <c r="H33" s="18"/>
    </row>
    <row r="34" customFormat="false" ht="15" hidden="false" customHeight="false" outlineLevel="0" collapsed="false">
      <c r="A34" s="13" t="s">
        <v>554</v>
      </c>
      <c r="B34" s="79" t="s">
        <v>555</v>
      </c>
      <c r="C34" s="13" t="s">
        <v>258</v>
      </c>
      <c r="D34" s="65" t="n">
        <v>1</v>
      </c>
      <c r="E34" s="70" t="n">
        <v>71665800</v>
      </c>
      <c r="F34" s="70" t="n">
        <v>71665800</v>
      </c>
      <c r="G34" s="80" t="n">
        <f aca="false">F34/$F$5</f>
        <v>0.00463253279664592</v>
      </c>
      <c r="H34" s="18"/>
    </row>
    <row r="35" customFormat="false" ht="15" hidden="false" customHeight="false" outlineLevel="0" collapsed="false">
      <c r="A35" s="13" t="s">
        <v>556</v>
      </c>
      <c r="B35" s="79" t="s">
        <v>557</v>
      </c>
      <c r="C35" s="13" t="s">
        <v>258</v>
      </c>
      <c r="D35" s="65" t="n">
        <v>1</v>
      </c>
      <c r="E35" s="70" t="n">
        <v>18645375</v>
      </c>
      <c r="F35" s="70" t="n">
        <v>18645375</v>
      </c>
      <c r="G35" s="80" t="n">
        <f aca="false">F35/$F$5</f>
        <v>0.00120525147550522</v>
      </c>
      <c r="H35" s="18"/>
    </row>
    <row r="36" customFormat="false" ht="15" hidden="false" customHeight="false" outlineLevel="0" collapsed="false">
      <c r="A36" s="29" t="s">
        <v>558</v>
      </c>
      <c r="B36" s="31" t="s">
        <v>559</v>
      </c>
      <c r="C36" s="57"/>
      <c r="D36" s="57"/>
      <c r="E36" s="57"/>
      <c r="F36" s="72" t="n">
        <f aca="false">SUM(F37:F41)</f>
        <v>990991666.666667</v>
      </c>
      <c r="G36" s="78" t="n">
        <f aca="false">F36/$F$5</f>
        <v>0.0640584685726823</v>
      </c>
      <c r="H36" s="38" t="s">
        <v>560</v>
      </c>
    </row>
    <row r="37" customFormat="false" ht="15" hidden="false" customHeight="false" outlineLevel="0" collapsed="false">
      <c r="A37" s="13" t="s">
        <v>561</v>
      </c>
      <c r="B37" s="79" t="s">
        <v>562</v>
      </c>
      <c r="C37" s="13" t="s">
        <v>258</v>
      </c>
      <c r="D37" s="65" t="n">
        <v>1</v>
      </c>
      <c r="E37" s="70" t="n">
        <v>375030000</v>
      </c>
      <c r="F37" s="70" t="n">
        <v>375030000</v>
      </c>
      <c r="G37" s="80" t="n">
        <f aca="false">F37/$F$5</f>
        <v>0.024242229553373</v>
      </c>
      <c r="H37" s="18"/>
    </row>
    <row r="38" customFormat="false" ht="15" hidden="false" customHeight="false" outlineLevel="0" collapsed="false">
      <c r="A38" s="13" t="s">
        <v>563</v>
      </c>
      <c r="B38" s="79" t="s">
        <v>564</v>
      </c>
      <c r="C38" s="13" t="s">
        <v>258</v>
      </c>
      <c r="D38" s="65" t="n">
        <v>1</v>
      </c>
      <c r="E38" s="70" t="n">
        <v>34906666.6666667</v>
      </c>
      <c r="F38" s="70" t="n">
        <v>34906666.6666667</v>
      </c>
      <c r="G38" s="80" t="n">
        <f aca="false">F38/$F$5</f>
        <v>0.00225639395855374</v>
      </c>
      <c r="H38" s="18"/>
    </row>
    <row r="39" customFormat="false" ht="15" hidden="false" customHeight="false" outlineLevel="0" collapsed="false">
      <c r="A39" s="13" t="s">
        <v>565</v>
      </c>
      <c r="B39" s="79" t="s">
        <v>566</v>
      </c>
      <c r="C39" s="13" t="s">
        <v>258</v>
      </c>
      <c r="D39" s="65" t="n">
        <v>1</v>
      </c>
      <c r="E39" s="70" t="n">
        <v>69813333.3333333</v>
      </c>
      <c r="F39" s="70" t="n">
        <v>69813333.3333333</v>
      </c>
      <c r="G39" s="80" t="n">
        <f aca="false">F39/$F$5</f>
        <v>0.00451278791710747</v>
      </c>
      <c r="H39" s="18"/>
    </row>
    <row r="40" customFormat="false" ht="15" hidden="false" customHeight="false" outlineLevel="0" collapsed="false">
      <c r="A40" s="13" t="s">
        <v>567</v>
      </c>
      <c r="B40" s="79" t="s">
        <v>568</v>
      </c>
      <c r="C40" s="13" t="s">
        <v>258</v>
      </c>
      <c r="D40" s="65" t="n">
        <v>1</v>
      </c>
      <c r="E40" s="70" t="n">
        <v>165166666.666667</v>
      </c>
      <c r="F40" s="70" t="n">
        <v>165166666.666667</v>
      </c>
      <c r="G40" s="80" t="n">
        <f aca="false">F40/$F$5</f>
        <v>0.0106765012076335</v>
      </c>
      <c r="H40" s="18"/>
    </row>
    <row r="41" customFormat="false" ht="15" hidden="false" customHeight="false" outlineLevel="0" collapsed="false">
      <c r="A41" s="13" t="s">
        <v>569</v>
      </c>
      <c r="B41" s="79" t="s">
        <v>570</v>
      </c>
      <c r="C41" s="13" t="s">
        <v>258</v>
      </c>
      <c r="D41" s="65" t="n">
        <v>1</v>
      </c>
      <c r="E41" s="70" t="n">
        <v>346075000</v>
      </c>
      <c r="F41" s="70" t="n">
        <v>346075000</v>
      </c>
      <c r="G41" s="80" t="n">
        <f aca="false">F41/$F$5</f>
        <v>0.0223705559360146</v>
      </c>
      <c r="H41" s="18"/>
    </row>
    <row r="42" customFormat="false" ht="15" hidden="false" customHeight="false" outlineLevel="0" collapsed="false">
      <c r="A42" s="29" t="s">
        <v>571</v>
      </c>
      <c r="B42" s="31" t="s">
        <v>572</v>
      </c>
      <c r="C42" s="57"/>
      <c r="D42" s="57"/>
      <c r="E42" s="57"/>
      <c r="F42" s="72" t="n">
        <f aca="false">SUM(F43:F50)</f>
        <v>531803919.401515</v>
      </c>
      <c r="G42" s="78" t="n">
        <f aca="false">F42/$F$5</f>
        <v>0.034376217080007</v>
      </c>
      <c r="H42" s="38" t="s">
        <v>573</v>
      </c>
    </row>
    <row r="43" customFormat="false" ht="15" hidden="false" customHeight="false" outlineLevel="0" collapsed="false">
      <c r="A43" s="13" t="s">
        <v>574</v>
      </c>
      <c r="B43" s="79" t="s">
        <v>575</v>
      </c>
      <c r="C43" s="13" t="s">
        <v>258</v>
      </c>
      <c r="D43" s="65" t="n">
        <v>1</v>
      </c>
      <c r="E43" s="70" t="n">
        <v>213482162.734849</v>
      </c>
      <c r="F43" s="70" t="n">
        <v>213482162.734849</v>
      </c>
      <c r="G43" s="80" t="n">
        <f aca="false">F43/$F$5</f>
        <v>0.0137996522800009</v>
      </c>
      <c r="H43" s="18"/>
    </row>
    <row r="44" customFormat="false" ht="15" hidden="false" customHeight="false" outlineLevel="0" collapsed="false">
      <c r="A44" s="13" t="s">
        <v>576</v>
      </c>
      <c r="B44" s="79" t="s">
        <v>577</v>
      </c>
      <c r="C44" s="13" t="s">
        <v>258</v>
      </c>
      <c r="D44" s="65" t="n">
        <v>1</v>
      </c>
      <c r="E44" s="70" t="n">
        <v>40441800</v>
      </c>
      <c r="F44" s="70" t="n">
        <v>40441800</v>
      </c>
      <c r="G44" s="80" t="n">
        <f aca="false">F44/$F$5</f>
        <v>0.0026141892625966</v>
      </c>
      <c r="H44" s="18"/>
    </row>
    <row r="45" customFormat="false" ht="15" hidden="false" customHeight="false" outlineLevel="0" collapsed="false">
      <c r="A45" s="13" t="s">
        <v>578</v>
      </c>
      <c r="B45" s="79" t="s">
        <v>579</v>
      </c>
      <c r="C45" s="13" t="s">
        <v>258</v>
      </c>
      <c r="D45" s="65" t="n">
        <v>1</v>
      </c>
      <c r="E45" s="70" t="n">
        <v>108400000</v>
      </c>
      <c r="F45" s="70" t="n">
        <v>108400000</v>
      </c>
      <c r="G45" s="80" t="n">
        <f aca="false">F45/$F$5</f>
        <v>0.00700705992476771</v>
      </c>
      <c r="H45" s="18"/>
    </row>
    <row r="46" customFormat="false" ht="15" hidden="false" customHeight="false" outlineLevel="0" collapsed="false">
      <c r="A46" s="13" t="s">
        <v>580</v>
      </c>
      <c r="B46" s="79" t="s">
        <v>581</v>
      </c>
      <c r="C46" s="13" t="s">
        <v>258</v>
      </c>
      <c r="D46" s="65" t="n">
        <v>1</v>
      </c>
      <c r="E46" s="70" t="n">
        <v>45166666.6666667</v>
      </c>
      <c r="F46" s="70" t="n">
        <v>45166666.6666667</v>
      </c>
      <c r="G46" s="80" t="n">
        <f aca="false">F46/$F$5</f>
        <v>0.00291960830198655</v>
      </c>
      <c r="H46" s="18"/>
    </row>
    <row r="47" customFormat="false" ht="15" hidden="false" customHeight="false" outlineLevel="0" collapsed="false">
      <c r="A47" s="13" t="s">
        <v>582</v>
      </c>
      <c r="B47" s="79" t="s">
        <v>583</v>
      </c>
      <c r="C47" s="13" t="s">
        <v>258</v>
      </c>
      <c r="D47" s="65" t="n">
        <v>1</v>
      </c>
      <c r="E47" s="70" t="n">
        <v>10000000</v>
      </c>
      <c r="F47" s="70" t="n">
        <v>10000000</v>
      </c>
      <c r="G47" s="80" t="n">
        <f aca="false">F47/$F$5</f>
        <v>0.000646407742137243</v>
      </c>
      <c r="H47" s="18"/>
    </row>
    <row r="48" customFormat="false" ht="15" hidden="false" customHeight="false" outlineLevel="0" collapsed="false">
      <c r="A48" s="13" t="s">
        <v>584</v>
      </c>
      <c r="B48" s="79" t="s">
        <v>585</v>
      </c>
      <c r="C48" s="13" t="s">
        <v>258</v>
      </c>
      <c r="D48" s="65" t="n">
        <v>1</v>
      </c>
      <c r="E48" s="70" t="n">
        <v>114313290</v>
      </c>
      <c r="F48" s="70" t="n">
        <v>114313290</v>
      </c>
      <c r="G48" s="80" t="n">
        <f aca="false">F48/$F$5</f>
        <v>0.00738929956851799</v>
      </c>
      <c r="H48" s="18"/>
    </row>
    <row r="49" customFormat="false" ht="15" hidden="false" customHeight="false" outlineLevel="0" collapsed="false">
      <c r="A49" s="13" t="s">
        <v>586</v>
      </c>
      <c r="B49" s="79" t="s">
        <v>587</v>
      </c>
      <c r="C49" s="13" t="s">
        <v>258</v>
      </c>
      <c r="D49" s="65" t="n">
        <v>1</v>
      </c>
      <c r="E49" s="70" t="n">
        <v>0</v>
      </c>
      <c r="F49" s="70" t="n">
        <v>0</v>
      </c>
      <c r="G49" s="80" t="n">
        <f aca="false">F49/$F$5</f>
        <v>0</v>
      </c>
      <c r="H49" s="18"/>
    </row>
    <row r="50" customFormat="false" ht="15" hidden="false" customHeight="false" outlineLevel="0" collapsed="false">
      <c r="A50" s="13" t="s">
        <v>588</v>
      </c>
      <c r="B50" s="79" t="s">
        <v>589</v>
      </c>
      <c r="C50" s="13" t="s">
        <v>258</v>
      </c>
      <c r="D50" s="65" t="n">
        <v>1</v>
      </c>
      <c r="E50" s="70" t="n">
        <v>0</v>
      </c>
      <c r="F50" s="70" t="n">
        <v>0</v>
      </c>
      <c r="G50" s="80" t="n">
        <f aca="false">F50/$F$5</f>
        <v>0</v>
      </c>
      <c r="H50" s="18"/>
    </row>
    <row r="51" customFormat="false" ht="15" hidden="false" customHeight="false" outlineLevel="0" collapsed="false">
      <c r="A51" s="29" t="s">
        <v>590</v>
      </c>
      <c r="B51" s="31" t="s">
        <v>591</v>
      </c>
      <c r="C51" s="57"/>
      <c r="D51" s="57"/>
      <c r="E51" s="57"/>
      <c r="F51" s="72" t="n">
        <f aca="false">SUM(F52:F53)</f>
        <v>116000000</v>
      </c>
      <c r="G51" s="78" t="n">
        <f aca="false">F51/$F$5</f>
        <v>0.00749832980879202</v>
      </c>
      <c r="H51" s="38" t="s">
        <v>592</v>
      </c>
    </row>
    <row r="52" customFormat="false" ht="15" hidden="false" customHeight="false" outlineLevel="0" collapsed="false">
      <c r="A52" s="13" t="s">
        <v>593</v>
      </c>
      <c r="B52" s="79" t="s">
        <v>594</v>
      </c>
      <c r="C52" s="13" t="s">
        <v>258</v>
      </c>
      <c r="D52" s="65" t="n">
        <v>1</v>
      </c>
      <c r="E52" s="70" t="n">
        <v>20000000</v>
      </c>
      <c r="F52" s="70" t="n">
        <v>20000000</v>
      </c>
      <c r="G52" s="80" t="n">
        <f aca="false">F52/$F$5</f>
        <v>0.00129281548427449</v>
      </c>
      <c r="H52" s="18"/>
    </row>
    <row r="53" customFormat="false" ht="15" hidden="false" customHeight="false" outlineLevel="0" collapsed="false">
      <c r="A53" s="13" t="s">
        <v>595</v>
      </c>
      <c r="B53" s="79" t="s">
        <v>596</v>
      </c>
      <c r="C53" s="13" t="s">
        <v>258</v>
      </c>
      <c r="D53" s="65" t="n">
        <v>1</v>
      </c>
      <c r="E53" s="70" t="n">
        <v>96000000</v>
      </c>
      <c r="F53" s="70" t="n">
        <v>96000000</v>
      </c>
      <c r="G53" s="80" t="n">
        <f aca="false">F53/$F$5</f>
        <v>0.00620551432451753</v>
      </c>
      <c r="H53" s="18"/>
    </row>
    <row r="54" customFormat="false" ht="15" hidden="false" customHeight="false" outlineLevel="0" collapsed="false">
      <c r="A54" s="29" t="s">
        <v>597</v>
      </c>
      <c r="B54" s="31" t="s">
        <v>598</v>
      </c>
      <c r="C54" s="57"/>
      <c r="D54" s="57"/>
      <c r="E54" s="57"/>
      <c r="F54" s="72" t="n">
        <f aca="false">SUM(F55:F56)</f>
        <v>79201440.5538098</v>
      </c>
      <c r="G54" s="78" t="n">
        <f aca="false">F54/$F$5</f>
        <v>0.00511964243624053</v>
      </c>
      <c r="H54" s="38" t="s">
        <v>599</v>
      </c>
    </row>
    <row r="55" customFormat="false" ht="15" hidden="false" customHeight="false" outlineLevel="0" collapsed="false">
      <c r="A55" s="13" t="s">
        <v>600</v>
      </c>
      <c r="B55" s="79" t="s">
        <v>601</v>
      </c>
      <c r="C55" s="13" t="s">
        <v>258</v>
      </c>
      <c r="D55" s="65" t="n">
        <v>1</v>
      </c>
      <c r="E55" s="70" t="n">
        <v>0</v>
      </c>
      <c r="F55" s="70" t="n">
        <v>0</v>
      </c>
      <c r="G55" s="80" t="n">
        <f aca="false">F55/$F$5</f>
        <v>0</v>
      </c>
      <c r="H55" s="18"/>
    </row>
    <row r="56" customFormat="false" ht="15" hidden="false" customHeight="false" outlineLevel="0" collapsed="false">
      <c r="A56" s="13" t="s">
        <v>602</v>
      </c>
      <c r="B56" s="79" t="s">
        <v>603</v>
      </c>
      <c r="C56" s="13" t="s">
        <v>258</v>
      </c>
      <c r="D56" s="65" t="n">
        <v>1</v>
      </c>
      <c r="E56" s="70" t="n">
        <v>79201440.5538098</v>
      </c>
      <c r="F56" s="70" t="n">
        <v>79201440.5538098</v>
      </c>
      <c r="G56" s="80" t="n">
        <f aca="false">F56/$F$5</f>
        <v>0.00511964243624053</v>
      </c>
      <c r="H56" s="18"/>
    </row>
    <row r="57" customFormat="false" ht="15" hidden="false" customHeight="false" outlineLevel="0" collapsed="false">
      <c r="A57" s="29" t="s">
        <v>604</v>
      </c>
      <c r="B57" s="31" t="s">
        <v>605</v>
      </c>
      <c r="C57" s="57"/>
      <c r="D57" s="57"/>
      <c r="E57" s="57"/>
      <c r="F57" s="72" t="n">
        <f aca="false">SUM(F58:F60)</f>
        <v>1845000000</v>
      </c>
      <c r="G57" s="78" t="n">
        <f aca="false">F57/$F$5</f>
        <v>0.119262228424321</v>
      </c>
      <c r="H57" s="38" t="s">
        <v>606</v>
      </c>
    </row>
    <row r="58" customFormat="false" ht="15" hidden="false" customHeight="false" outlineLevel="0" collapsed="false">
      <c r="A58" s="13" t="s">
        <v>607</v>
      </c>
      <c r="B58" s="79" t="s">
        <v>608</v>
      </c>
      <c r="C58" s="13" t="s">
        <v>258</v>
      </c>
      <c r="D58" s="65" t="n">
        <v>1</v>
      </c>
      <c r="E58" s="70" t="n">
        <v>1800000000</v>
      </c>
      <c r="F58" s="70" t="n">
        <v>1800000000</v>
      </c>
      <c r="G58" s="80" t="n">
        <f aca="false">F58/$F$5</f>
        <v>0.116353393584704</v>
      </c>
      <c r="H58" s="18"/>
    </row>
    <row r="59" customFormat="false" ht="15" hidden="false" customHeight="false" outlineLevel="0" collapsed="false">
      <c r="A59" s="13" t="s">
        <v>609</v>
      </c>
      <c r="B59" s="79" t="s">
        <v>610</v>
      </c>
      <c r="C59" s="13" t="s">
        <v>258</v>
      </c>
      <c r="D59" s="65" t="n">
        <v>1</v>
      </c>
      <c r="E59" s="70" t="n">
        <v>0</v>
      </c>
      <c r="F59" s="70" t="n">
        <v>0</v>
      </c>
      <c r="G59" s="80" t="n">
        <f aca="false">F59/$F$5</f>
        <v>0</v>
      </c>
      <c r="H59" s="18"/>
    </row>
    <row r="60" customFormat="false" ht="15" hidden="false" customHeight="false" outlineLevel="0" collapsed="false">
      <c r="A60" s="13" t="s">
        <v>611</v>
      </c>
      <c r="B60" s="79" t="s">
        <v>262</v>
      </c>
      <c r="C60" s="13" t="s">
        <v>258</v>
      </c>
      <c r="D60" s="65" t="n">
        <v>1</v>
      </c>
      <c r="E60" s="70" t="n">
        <v>45000000</v>
      </c>
      <c r="F60" s="70" t="n">
        <v>45000000</v>
      </c>
      <c r="G60" s="80" t="n">
        <f aca="false">F60/$F$5</f>
        <v>0.00290883483961759</v>
      </c>
      <c r="H60" s="18"/>
    </row>
    <row r="61" customFormat="false" ht="15" hidden="false" customHeight="false" outlineLevel="0" collapsed="false">
      <c r="A61" s="29" t="s">
        <v>612</v>
      </c>
      <c r="B61" s="31" t="s">
        <v>613</v>
      </c>
      <c r="C61" s="57"/>
      <c r="D61" s="57"/>
      <c r="E61" s="57"/>
      <c r="F61" s="72" t="n">
        <f aca="false">SUM(F62:F65)</f>
        <v>4413834031</v>
      </c>
      <c r="G61" s="78" t="n">
        <f aca="false">F61/$F$5</f>
        <v>0.285313649014724</v>
      </c>
      <c r="H61" s="38" t="s">
        <v>614</v>
      </c>
    </row>
    <row r="62" customFormat="false" ht="15" hidden="false" customHeight="false" outlineLevel="0" collapsed="false">
      <c r="A62" s="13" t="s">
        <v>615</v>
      </c>
      <c r="B62" s="79" t="s">
        <v>616</v>
      </c>
      <c r="C62" s="13" t="s">
        <v>258</v>
      </c>
      <c r="D62" s="65" t="n">
        <v>1</v>
      </c>
      <c r="E62" s="70" t="n">
        <v>3986917364.33333</v>
      </c>
      <c r="F62" s="70" t="n">
        <v>3986917364.33333</v>
      </c>
      <c r="G62" s="80" t="n">
        <f aca="false">F62/$F$5</f>
        <v>0.257717425156648</v>
      </c>
      <c r="H62" s="18"/>
    </row>
    <row r="63" customFormat="false" ht="15" hidden="false" customHeight="false" outlineLevel="0" collapsed="false">
      <c r="A63" s="13" t="s">
        <v>617</v>
      </c>
      <c r="B63" s="79" t="s">
        <v>618</v>
      </c>
      <c r="C63" s="13" t="s">
        <v>258</v>
      </c>
      <c r="D63" s="65" t="n">
        <v>1</v>
      </c>
      <c r="E63" s="70" t="n">
        <v>162050000</v>
      </c>
      <c r="F63" s="70" t="n">
        <v>162050000</v>
      </c>
      <c r="G63" s="80" t="n">
        <f aca="false">F63/$F$5</f>
        <v>0.010475037461334</v>
      </c>
      <c r="H63" s="18"/>
    </row>
    <row r="64" customFormat="false" ht="15" hidden="false" customHeight="false" outlineLevel="0" collapsed="false">
      <c r="A64" s="13" t="s">
        <v>619</v>
      </c>
      <c r="B64" s="79" t="s">
        <v>620</v>
      </c>
      <c r="C64" s="13" t="s">
        <v>258</v>
      </c>
      <c r="D64" s="65" t="n">
        <v>1</v>
      </c>
      <c r="E64" s="70" t="n">
        <v>0</v>
      </c>
      <c r="F64" s="70" t="n">
        <v>0</v>
      </c>
      <c r="G64" s="80" t="n">
        <f aca="false">F64/$F$5</f>
        <v>0</v>
      </c>
      <c r="H64" s="18"/>
    </row>
    <row r="65" customFormat="false" ht="15" hidden="false" customHeight="false" outlineLevel="0" collapsed="false">
      <c r="A65" s="13" t="s">
        <v>621</v>
      </c>
      <c r="B65" s="79" t="s">
        <v>622</v>
      </c>
      <c r="C65" s="13" t="s">
        <v>258</v>
      </c>
      <c r="D65" s="65" t="n">
        <v>1</v>
      </c>
      <c r="E65" s="70" t="n">
        <v>264866666.666667</v>
      </c>
      <c r="F65" s="70" t="n">
        <v>264866666.666667</v>
      </c>
      <c r="G65" s="80" t="n">
        <f aca="false">F65/$F$5</f>
        <v>0.0171211863967418</v>
      </c>
      <c r="H65" s="18"/>
    </row>
    <row r="66" customFormat="false" ht="15" hidden="false" customHeight="false" outlineLevel="0" collapsed="false">
      <c r="A66" s="29" t="s">
        <v>623</v>
      </c>
      <c r="B66" s="31" t="s">
        <v>624</v>
      </c>
      <c r="C66" s="57"/>
      <c r="D66" s="57"/>
      <c r="E66" s="57"/>
      <c r="F66" s="72" t="n">
        <f aca="false">SUM(F67:F79)</f>
        <v>4641877252.94118</v>
      </c>
      <c r="G66" s="78" t="n">
        <f aca="false">F66/$F$5</f>
        <v>0.300054539435193</v>
      </c>
      <c r="H66" s="38" t="s">
        <v>625</v>
      </c>
    </row>
    <row r="67" customFormat="false" ht="15" hidden="false" customHeight="false" outlineLevel="0" collapsed="false">
      <c r="A67" s="13" t="s">
        <v>626</v>
      </c>
      <c r="B67" s="79" t="s">
        <v>627</v>
      </c>
      <c r="C67" s="13" t="s">
        <v>258</v>
      </c>
      <c r="D67" s="65" t="n">
        <v>1</v>
      </c>
      <c r="E67" s="70" t="n">
        <v>250317252.941176</v>
      </c>
      <c r="F67" s="70" t="n">
        <v>250317252.941176</v>
      </c>
      <c r="G67" s="80" t="n">
        <f aca="false">F67/$F$5</f>
        <v>0.0161807010291703</v>
      </c>
      <c r="H67" s="18"/>
    </row>
    <row r="68" customFormat="false" ht="15" hidden="false" customHeight="false" outlineLevel="0" collapsed="false">
      <c r="A68" s="13" t="s">
        <v>628</v>
      </c>
      <c r="B68" s="79" t="s">
        <v>629</v>
      </c>
      <c r="C68" s="13" t="s">
        <v>258</v>
      </c>
      <c r="D68" s="65" t="n">
        <v>1</v>
      </c>
      <c r="E68" s="70" t="n">
        <v>0</v>
      </c>
      <c r="F68" s="70" t="n">
        <v>0</v>
      </c>
      <c r="G68" s="80" t="n">
        <f aca="false">F68/$F$5</f>
        <v>0</v>
      </c>
      <c r="H68" s="18"/>
    </row>
    <row r="69" customFormat="false" ht="15" hidden="false" customHeight="false" outlineLevel="0" collapsed="false">
      <c r="A69" s="13" t="s">
        <v>630</v>
      </c>
      <c r="B69" s="79" t="s">
        <v>631</v>
      </c>
      <c r="C69" s="13" t="s">
        <v>258</v>
      </c>
      <c r="D69" s="65" t="n">
        <v>1</v>
      </c>
      <c r="E69" s="70" t="n">
        <v>0</v>
      </c>
      <c r="F69" s="70" t="n">
        <v>0</v>
      </c>
      <c r="G69" s="80" t="n">
        <f aca="false">F69/$F$5</f>
        <v>0</v>
      </c>
      <c r="H69" s="18"/>
    </row>
    <row r="70" customFormat="false" ht="15" hidden="false" customHeight="false" outlineLevel="0" collapsed="false">
      <c r="A70" s="13" t="s">
        <v>632</v>
      </c>
      <c r="B70" s="79" t="s">
        <v>633</v>
      </c>
      <c r="C70" s="13" t="s">
        <v>258</v>
      </c>
      <c r="D70" s="65" t="n">
        <v>1</v>
      </c>
      <c r="E70" s="70" t="n">
        <v>28560000</v>
      </c>
      <c r="F70" s="70" t="n">
        <v>28560000</v>
      </c>
      <c r="G70" s="80" t="n">
        <f aca="false">F70/$F$5</f>
        <v>0.00184614051154397</v>
      </c>
      <c r="H70" s="18"/>
    </row>
    <row r="71" customFormat="false" ht="15" hidden="false" customHeight="false" outlineLevel="0" collapsed="false">
      <c r="A71" s="13" t="s">
        <v>634</v>
      </c>
      <c r="B71" s="79" t="s">
        <v>635</v>
      </c>
      <c r="C71" s="13" t="s">
        <v>258</v>
      </c>
      <c r="D71" s="65" t="n">
        <v>1</v>
      </c>
      <c r="E71" s="70" t="n">
        <v>23000000</v>
      </c>
      <c r="F71" s="70" t="n">
        <v>23000000</v>
      </c>
      <c r="G71" s="80" t="n">
        <f aca="false">F71/$F$5</f>
        <v>0.00148673780691566</v>
      </c>
      <c r="H71" s="18"/>
    </row>
    <row r="72" customFormat="false" ht="15" hidden="false" customHeight="false" outlineLevel="0" collapsed="false">
      <c r="A72" s="13" t="s">
        <v>636</v>
      </c>
      <c r="B72" s="79" t="s">
        <v>637</v>
      </c>
      <c r="C72" s="13" t="s">
        <v>258</v>
      </c>
      <c r="D72" s="65" t="n">
        <v>1</v>
      </c>
      <c r="E72" s="70" t="n">
        <v>324000000</v>
      </c>
      <c r="F72" s="70" t="n">
        <v>324000000</v>
      </c>
      <c r="G72" s="80" t="n">
        <f aca="false">F72/$F$5</f>
        <v>0.0209436108452467</v>
      </c>
      <c r="H72" s="18"/>
    </row>
    <row r="73" customFormat="false" ht="15" hidden="false" customHeight="false" outlineLevel="0" collapsed="false">
      <c r="A73" s="13" t="s">
        <v>638</v>
      </c>
      <c r="B73" s="79" t="s">
        <v>639</v>
      </c>
      <c r="C73" s="13" t="s">
        <v>258</v>
      </c>
      <c r="D73" s="65" t="n">
        <v>1</v>
      </c>
      <c r="E73" s="70" t="n">
        <v>0</v>
      </c>
      <c r="F73" s="70" t="n">
        <v>0</v>
      </c>
      <c r="G73" s="80" t="n">
        <f aca="false">F73/$F$5</f>
        <v>0</v>
      </c>
      <c r="H73" s="18"/>
    </row>
    <row r="74" customFormat="false" ht="15" hidden="false" customHeight="false" outlineLevel="0" collapsed="false">
      <c r="A74" s="13" t="s">
        <v>640</v>
      </c>
      <c r="B74" s="79" t="s">
        <v>641</v>
      </c>
      <c r="C74" s="13" t="s">
        <v>258</v>
      </c>
      <c r="D74" s="65" t="n">
        <v>1</v>
      </c>
      <c r="E74" s="70" t="n">
        <v>0</v>
      </c>
      <c r="F74" s="70" t="n">
        <v>0</v>
      </c>
      <c r="G74" s="80" t="n">
        <f aca="false">F74/$F$5</f>
        <v>0</v>
      </c>
      <c r="H74" s="18"/>
    </row>
    <row r="75" customFormat="false" ht="15" hidden="false" customHeight="false" outlineLevel="0" collapsed="false">
      <c r="A75" s="13" t="s">
        <v>642</v>
      </c>
      <c r="B75" s="79" t="s">
        <v>643</v>
      </c>
      <c r="C75" s="13" t="s">
        <v>258</v>
      </c>
      <c r="D75" s="65" t="n">
        <v>1</v>
      </c>
      <c r="E75" s="70" t="n">
        <v>80000000</v>
      </c>
      <c r="F75" s="70" t="n">
        <v>80000000</v>
      </c>
      <c r="G75" s="80" t="n">
        <f aca="false">F75/$F$5</f>
        <v>0.00517126193709794</v>
      </c>
      <c r="H75" s="18"/>
    </row>
    <row r="76" customFormat="false" ht="15" hidden="false" customHeight="false" outlineLevel="0" collapsed="false">
      <c r="A76" s="13" t="s">
        <v>642</v>
      </c>
      <c r="B76" s="79" t="s">
        <v>644</v>
      </c>
      <c r="C76" s="13" t="s">
        <v>258</v>
      </c>
      <c r="D76" s="65" t="n">
        <v>1</v>
      </c>
      <c r="E76" s="70" t="n">
        <v>0</v>
      </c>
      <c r="F76" s="70" t="n">
        <v>0</v>
      </c>
      <c r="G76" s="80" t="n">
        <f aca="false">F76/$F$5</f>
        <v>0</v>
      </c>
      <c r="H76" s="18"/>
    </row>
    <row r="77" customFormat="false" ht="15" hidden="false" customHeight="false" outlineLevel="0" collapsed="false">
      <c r="A77" s="13" t="s">
        <v>645</v>
      </c>
      <c r="B77" s="79" t="s">
        <v>646</v>
      </c>
      <c r="C77" s="13" t="s">
        <v>258</v>
      </c>
      <c r="D77" s="65" t="n">
        <v>1</v>
      </c>
      <c r="E77" s="70" t="n">
        <v>2016000000</v>
      </c>
      <c r="F77" s="70" t="n">
        <v>2016000000</v>
      </c>
      <c r="G77" s="80" t="n">
        <f aca="false">F77/$F$5</f>
        <v>0.130315800814868</v>
      </c>
      <c r="H77" s="18"/>
    </row>
    <row r="78" customFormat="false" ht="15" hidden="false" customHeight="false" outlineLevel="0" collapsed="false">
      <c r="A78" s="13" t="s">
        <v>645</v>
      </c>
      <c r="B78" s="79" t="s">
        <v>647</v>
      </c>
      <c r="C78" s="13" t="s">
        <v>258</v>
      </c>
      <c r="D78" s="65" t="n">
        <v>1</v>
      </c>
      <c r="E78" s="70" t="n">
        <v>1920000000</v>
      </c>
      <c r="F78" s="70" t="n">
        <v>1920000000</v>
      </c>
      <c r="G78" s="80" t="n">
        <f aca="false">F78/$F$5</f>
        <v>0.124110286490351</v>
      </c>
      <c r="H78" s="18"/>
    </row>
    <row r="79" customFormat="false" ht="15" hidden="false" customHeight="false" outlineLevel="0" collapsed="false">
      <c r="A79" s="13" t="s">
        <v>645</v>
      </c>
      <c r="B79" s="79" t="s">
        <v>648</v>
      </c>
      <c r="C79" s="13" t="s">
        <v>258</v>
      </c>
      <c r="D79" s="65" t="n">
        <v>1</v>
      </c>
      <c r="E79" s="70" t="n">
        <v>0</v>
      </c>
      <c r="F79" s="70" t="n">
        <v>0</v>
      </c>
      <c r="G79" s="80" t="n">
        <f aca="false">F79/$F$5</f>
        <v>0</v>
      </c>
      <c r="H79" s="18"/>
    </row>
    <row r="81" customFormat="false" ht="19.5" hidden="false" customHeight="true" outlineLevel="0" collapsed="false">
      <c r="A81" s="3" t="s">
        <v>649</v>
      </c>
      <c r="B81" s="3"/>
      <c r="C81" s="3"/>
      <c r="D81" s="3"/>
      <c r="E81" s="3"/>
      <c r="F81" s="3"/>
      <c r="G81" s="3"/>
      <c r="H81" s="3"/>
    </row>
    <row r="82" customFormat="false" ht="16.5" hidden="false" customHeight="true" outlineLevel="0" collapsed="false">
      <c r="B82" s="14" t="s">
        <v>650</v>
      </c>
      <c r="C82" s="5"/>
      <c r="D82" s="5"/>
      <c r="E82" s="5"/>
      <c r="F82" s="64" t="n">
        <v>15470111739.2818</v>
      </c>
      <c r="H82" s="18" t="s">
        <v>651</v>
      </c>
    </row>
    <row r="83" customFormat="false" ht="16.5" hidden="false" customHeight="true" outlineLevel="0" collapsed="false">
      <c r="B83" s="14" t="s">
        <v>652</v>
      </c>
      <c r="C83" s="5"/>
      <c r="D83" s="5"/>
      <c r="E83" s="5"/>
      <c r="F83" s="81" t="n">
        <f aca="false">F5-F82</f>
        <v>0</v>
      </c>
      <c r="H83" s="18" t="s">
        <v>653</v>
      </c>
    </row>
    <row r="84" customFormat="false" ht="16.5" hidden="false" customHeight="true" outlineLevel="0" collapsed="false">
      <c r="B84" s="14" t="s">
        <v>654</v>
      </c>
      <c r="C84" s="5"/>
      <c r="D84" s="5"/>
      <c r="E84" s="5"/>
      <c r="F84" s="64" t="n">
        <v>16285611739.2818</v>
      </c>
      <c r="H84" s="18" t="s">
        <v>651</v>
      </c>
    </row>
    <row r="85" customFormat="false" ht="16.5" hidden="false" customHeight="true" outlineLevel="0" collapsed="false">
      <c r="B85" s="14" t="s">
        <v>655</v>
      </c>
      <c r="C85" s="5"/>
      <c r="D85" s="5"/>
      <c r="E85" s="5"/>
      <c r="F85" s="81" t="n">
        <f aca="false">F84-F5</f>
        <v>815500000.000004</v>
      </c>
      <c r="H85" s="18" t="s">
        <v>656</v>
      </c>
    </row>
    <row r="86" customFormat="false" ht="16.5" hidden="false" customHeight="true" outlineLevel="0" collapsed="false">
      <c r="B86" s="14" t="s">
        <v>657</v>
      </c>
      <c r="C86" s="5"/>
      <c r="D86" s="5"/>
      <c r="E86" s="5"/>
      <c r="F86" s="64" t="n">
        <v>192</v>
      </c>
      <c r="H86" s="18" t="s">
        <v>658</v>
      </c>
    </row>
    <row r="87" customFormat="false" ht="16.5" hidden="false" customHeight="true" outlineLevel="0" collapsed="false">
      <c r="B87" s="14" t="s">
        <v>659</v>
      </c>
      <c r="C87" s="5"/>
      <c r="D87" s="5"/>
      <c r="E87" s="5"/>
      <c r="F87" s="82" t="n">
        <f aca="false">F5/(F86*1000000000)</f>
        <v>0.0805734986420927</v>
      </c>
      <c r="H87" s="18"/>
    </row>
    <row r="88" customFormat="false" ht="16.5" hidden="false" customHeight="true" outlineLevel="0" collapsed="false">
      <c r="B88" s="14" t="s">
        <v>660</v>
      </c>
      <c r="C88" s="5"/>
      <c r="D88" s="5"/>
      <c r="E88" s="5"/>
      <c r="F88" s="64" t="n">
        <v>280</v>
      </c>
      <c r="H88" s="18" t="s">
        <v>661</v>
      </c>
    </row>
    <row r="89" customFormat="false" ht="16.5" hidden="false" customHeight="true" outlineLevel="0" collapsed="false">
      <c r="B89" s="14" t="s">
        <v>662</v>
      </c>
      <c r="C89" s="5"/>
      <c r="D89" s="5"/>
      <c r="E89" s="5"/>
      <c r="F89" s="82" t="n">
        <f aca="false">F5/(F88*1000000000)</f>
        <v>0.0552503990688636</v>
      </c>
      <c r="H89" s="18" t="s">
        <v>663</v>
      </c>
    </row>
    <row r="90" customFormat="false" ht="16.5" hidden="false" customHeight="true" outlineLevel="0" collapsed="false">
      <c r="B90" s="14" t="s">
        <v>664</v>
      </c>
      <c r="C90" s="5"/>
      <c r="D90" s="5"/>
      <c r="E90" s="5"/>
      <c r="F90" s="81" t="n">
        <f aca="false">F5-F77-F78</f>
        <v>11534111739.2818</v>
      </c>
      <c r="H90" s="18" t="s">
        <v>665</v>
      </c>
    </row>
    <row r="91" customFormat="false" ht="16.5" hidden="false" customHeight="true" outlineLevel="0" collapsed="false">
      <c r="B91" s="14" t="s">
        <v>666</v>
      </c>
      <c r="C91" s="5"/>
      <c r="D91" s="5"/>
      <c r="E91" s="5"/>
      <c r="F91" s="83" t="n">
        <f aca="false">(F77+F78)/F5</f>
        <v>0.254426087305219</v>
      </c>
      <c r="H91" s="18"/>
    </row>
    <row r="92" customFormat="false" ht="16.5" hidden="false" customHeight="true" outlineLevel="0" collapsed="false">
      <c r="B92" s="14" t="s">
        <v>667</v>
      </c>
      <c r="C92" s="5"/>
      <c r="D92" s="5"/>
      <c r="E92" s="5"/>
      <c r="F92" s="81" t="n">
        <f aca="false">F62-3842517364.33333</f>
        <v>144400000.000004</v>
      </c>
      <c r="H92" s="18" t="s">
        <v>668</v>
      </c>
    </row>
    <row r="94" customFormat="false" ht="19.5" hidden="false" customHeight="true" outlineLevel="0" collapsed="false">
      <c r="A94" s="3" t="s">
        <v>669</v>
      </c>
      <c r="B94" s="3"/>
      <c r="C94" s="3"/>
      <c r="D94" s="3"/>
      <c r="E94" s="3"/>
      <c r="F94" s="3"/>
      <c r="G94" s="3"/>
      <c r="H94" s="3"/>
    </row>
    <row r="95" customFormat="false" ht="30" hidden="false" customHeight="true" outlineLevel="0" collapsed="false">
      <c r="A95" s="12" t="s">
        <v>670</v>
      </c>
      <c r="B95" s="12" t="s">
        <v>373</v>
      </c>
      <c r="C95" s="12"/>
      <c r="D95" s="12"/>
      <c r="E95" s="12"/>
      <c r="F95" s="12" t="s">
        <v>254</v>
      </c>
      <c r="G95" s="12" t="s">
        <v>489</v>
      </c>
      <c r="H95" s="12"/>
    </row>
    <row r="96" customFormat="false" ht="15" hidden="false" customHeight="false" outlineLevel="0" collapsed="false">
      <c r="A96" s="13" t="n">
        <v>1</v>
      </c>
      <c r="B96" s="14" t="str">
        <f aca="false">B62</f>
        <v>Chi phí lương ban chỉ huy phục vụ cho dự án</v>
      </c>
      <c r="C96" s="14"/>
      <c r="D96" s="14"/>
      <c r="E96" s="14"/>
      <c r="F96" s="71" t="n">
        <f aca="false">F62</f>
        <v>3986917364.33333</v>
      </c>
      <c r="G96" s="80" t="n">
        <f aca="false">F96/$F$5</f>
        <v>0.257717425156648</v>
      </c>
    </row>
    <row r="97" customFormat="false" ht="15" hidden="false" customHeight="false" outlineLevel="0" collapsed="false">
      <c r="A97" s="13" t="n">
        <v>2</v>
      </c>
      <c r="B97" s="14" t="str">
        <f aca="false">B77</f>
        <v>Chi phí lãi vay</v>
      </c>
      <c r="C97" s="14"/>
      <c r="D97" s="14"/>
      <c r="E97" s="14"/>
      <c r="F97" s="71" t="n">
        <f aca="false">F77</f>
        <v>2016000000</v>
      </c>
      <c r="G97" s="80" t="n">
        <f aca="false">F97/$F$5</f>
        <v>0.130315800814868</v>
      </c>
    </row>
    <row r="98" customFormat="false" ht="15" hidden="false" customHeight="false" outlineLevel="0" collapsed="false">
      <c r="A98" s="13" t="n">
        <v>3</v>
      </c>
      <c r="B98" s="14" t="str">
        <f aca="false">B78</f>
        <v>CHI PHÍ DỰ PHÒNG (Tổng chi phí dự phòng 1% giá trị dự án)</v>
      </c>
      <c r="C98" s="14"/>
      <c r="D98" s="14"/>
      <c r="E98" s="14"/>
      <c r="F98" s="71" t="n">
        <f aca="false">F78</f>
        <v>1920000000</v>
      </c>
      <c r="G98" s="80" t="n">
        <f aca="false">F98/$F$5</f>
        <v>0.124110286490351</v>
      </c>
    </row>
    <row r="99" customFormat="false" ht="15" hidden="false" customHeight="false" outlineLevel="0" collapsed="false">
      <c r="A99" s="13" t="n">
        <v>4</v>
      </c>
      <c r="B99" s="14" t="str">
        <f aca="false">B58</f>
        <v>Cẩu Kato, Cẩu thùng</v>
      </c>
      <c r="C99" s="14"/>
      <c r="D99" s="14"/>
      <c r="E99" s="14"/>
      <c r="F99" s="71" t="n">
        <f aca="false">F58</f>
        <v>1800000000</v>
      </c>
      <c r="G99" s="80" t="n">
        <f aca="false">F99/$F$5</f>
        <v>0.116353393584704</v>
      </c>
    </row>
    <row r="100" customFormat="false" ht="15" hidden="false" customHeight="false" outlineLevel="0" collapsed="false">
      <c r="A100" s="13" t="n">
        <v>5</v>
      </c>
      <c r="B100" s="14" t="str">
        <f aca="false">B26</f>
        <v>Đường tạm</v>
      </c>
      <c r="C100" s="14"/>
      <c r="D100" s="14"/>
      <c r="E100" s="14"/>
      <c r="F100" s="71" t="n">
        <f aca="false">F26</f>
        <v>1098300000</v>
      </c>
      <c r="G100" s="80" t="n">
        <f aca="false">F100/$F$5</f>
        <v>0.0709949623189334</v>
      </c>
    </row>
    <row r="101" customFormat="false" ht="15" hidden="false" customHeight="false" outlineLevel="0" collapsed="false">
      <c r="A101" s="13" t="n">
        <v>6</v>
      </c>
      <c r="B101" s="14" t="str">
        <f aca="false">B14</f>
        <v>Bảo hiểm cho rủi ro cho công trình &amp; Bảo hiểm trách nhiệm dân sự đối với người thứ 3</v>
      </c>
      <c r="C101" s="14"/>
      <c r="D101" s="14"/>
      <c r="E101" s="14"/>
      <c r="F101" s="71" t="n">
        <f aca="false">F14</f>
        <v>525000000</v>
      </c>
      <c r="G101" s="80" t="n">
        <f aca="false">F101/$F$5</f>
        <v>0.0339364064622053</v>
      </c>
    </row>
    <row r="102" customFormat="false" ht="15" hidden="false" customHeight="false" outlineLevel="0" collapsed="false">
      <c r="A102" s="13" t="n">
        <v>7</v>
      </c>
      <c r="B102" s="14" t="str">
        <f aca="false">B37</f>
        <v>Chi phí công nhật vệ sinh công trường</v>
      </c>
      <c r="C102" s="14"/>
      <c r="D102" s="14"/>
      <c r="E102" s="14"/>
      <c r="F102" s="71" t="n">
        <f aca="false">F37</f>
        <v>375030000</v>
      </c>
      <c r="G102" s="80" t="n">
        <f aca="false">F102/$F$5</f>
        <v>0.024242229553373</v>
      </c>
    </row>
    <row r="103" customFormat="false" ht="15" hidden="false" customHeight="false" outlineLevel="0" collapsed="false">
      <c r="A103" s="13" t="n">
        <v>8</v>
      </c>
      <c r="B103" s="14" t="str">
        <f aca="false">B41</f>
        <v>Chi phí vệ sinh bàn giao công trường</v>
      </c>
      <c r="C103" s="14"/>
      <c r="D103" s="14"/>
      <c r="E103" s="14"/>
      <c r="F103" s="71" t="n">
        <f aca="false">F41</f>
        <v>346075000</v>
      </c>
      <c r="G103" s="80" t="n">
        <f aca="false">F103/$F$5</f>
        <v>0.0223705559360146</v>
      </c>
    </row>
    <row r="104" customFormat="false" ht="15" hidden="false" customHeight="false" outlineLevel="0" collapsed="false">
      <c r="A104" s="13" t="n">
        <v>9</v>
      </c>
      <c r="B104" s="14" t="str">
        <f aca="false">B72</f>
        <v>Vật tư phụ cho công tác tạm và phục vụ thi công</v>
      </c>
      <c r="C104" s="14"/>
      <c r="D104" s="14"/>
      <c r="E104" s="14"/>
      <c r="F104" s="71" t="n">
        <f aca="false">F72</f>
        <v>324000000</v>
      </c>
      <c r="G104" s="80" t="n">
        <f aca="false">F104/$F$5</f>
        <v>0.0209436108452467</v>
      </c>
    </row>
    <row r="105" customFormat="false" ht="15" hidden="false" customHeight="false" outlineLevel="0" collapsed="false">
      <c r="A105" s="13" t="n">
        <v>10</v>
      </c>
      <c r="B105" s="14" t="str">
        <f aca="false">B65</f>
        <v>Chi phí khác ban chỉ huy</v>
      </c>
      <c r="C105" s="14"/>
      <c r="D105" s="14"/>
      <c r="E105" s="14"/>
      <c r="F105" s="71" t="n">
        <f aca="false">F65</f>
        <v>264866666.666667</v>
      </c>
      <c r="G105" s="80" t="n">
        <f aca="false">F105/$F$5</f>
        <v>0.0171211863967418</v>
      </c>
    </row>
  </sheetData>
  <mergeCells count="25">
    <mergeCell ref="A1:H1"/>
    <mergeCell ref="A2:H2"/>
    <mergeCell ref="A81:H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A94:H94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6" min="6" style="0" width="58"/>
    <col collapsed="false" customWidth="true" hidden="false" outlineLevel="0" max="7" min="7" style="0" width="22"/>
  </cols>
  <sheetData>
    <row r="1" customFormat="false" ht="24" hidden="false" customHeight="true" outlineLevel="0" collapsed="false">
      <c r="A1" s="1" t="s">
        <v>671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672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12" t="s">
        <v>673</v>
      </c>
      <c r="B3" s="12" t="s">
        <v>208</v>
      </c>
      <c r="C3" s="12" t="s">
        <v>674</v>
      </c>
      <c r="D3" s="12" t="s">
        <v>675</v>
      </c>
      <c r="E3" s="12" t="s">
        <v>676</v>
      </c>
      <c r="F3" s="12" t="s">
        <v>677</v>
      </c>
      <c r="G3" s="12" t="s">
        <v>678</v>
      </c>
    </row>
    <row r="4" customFormat="false" ht="66" hidden="false" customHeight="true" outlineLevel="0" collapsed="false">
      <c r="A4" s="13" t="n">
        <v>1</v>
      </c>
      <c r="B4" s="17" t="s">
        <v>679</v>
      </c>
      <c r="C4" s="14" t="s">
        <v>680</v>
      </c>
      <c r="D4" s="18" t="s">
        <v>681</v>
      </c>
      <c r="E4" s="84" t="s">
        <v>682</v>
      </c>
      <c r="F4" s="14" t="s">
        <v>683</v>
      </c>
      <c r="G4" s="14"/>
    </row>
    <row r="5" customFormat="false" ht="81.75" hidden="false" customHeight="true" outlineLevel="0" collapsed="false">
      <c r="A5" s="13" t="n">
        <v>2</v>
      </c>
      <c r="B5" s="17" t="s">
        <v>684</v>
      </c>
      <c r="C5" s="14" t="s">
        <v>685</v>
      </c>
      <c r="D5" s="18" t="s">
        <v>686</v>
      </c>
      <c r="E5" s="84" t="s">
        <v>682</v>
      </c>
      <c r="F5" s="14" t="s">
        <v>687</v>
      </c>
      <c r="G5" s="14"/>
    </row>
    <row r="6" customFormat="false" ht="51.75" hidden="false" customHeight="true" outlineLevel="0" collapsed="false">
      <c r="A6" s="13" t="n">
        <v>3</v>
      </c>
      <c r="B6" s="17" t="s">
        <v>684</v>
      </c>
      <c r="C6" s="14" t="s">
        <v>688</v>
      </c>
      <c r="D6" s="18" t="s">
        <v>689</v>
      </c>
      <c r="E6" s="84" t="s">
        <v>690</v>
      </c>
      <c r="F6" s="14" t="s">
        <v>691</v>
      </c>
      <c r="G6" s="14"/>
    </row>
    <row r="7" customFormat="false" ht="51.75" hidden="false" customHeight="true" outlineLevel="0" collapsed="false">
      <c r="A7" s="13" t="n">
        <v>4</v>
      </c>
      <c r="B7" s="17" t="s">
        <v>684</v>
      </c>
      <c r="C7" s="14" t="s">
        <v>692</v>
      </c>
      <c r="D7" s="18" t="s">
        <v>693</v>
      </c>
      <c r="E7" s="84" t="s">
        <v>694</v>
      </c>
      <c r="F7" s="14" t="s">
        <v>695</v>
      </c>
      <c r="G7" s="14"/>
    </row>
    <row r="8" customFormat="false" ht="51.75" hidden="false" customHeight="true" outlineLevel="0" collapsed="false">
      <c r="A8" s="13" t="n">
        <v>5</v>
      </c>
      <c r="B8" s="17" t="s">
        <v>684</v>
      </c>
      <c r="C8" s="14" t="s">
        <v>696</v>
      </c>
      <c r="D8" s="18" t="s">
        <v>697</v>
      </c>
      <c r="E8" s="84" t="s">
        <v>682</v>
      </c>
      <c r="F8" s="14" t="s">
        <v>698</v>
      </c>
      <c r="G8" s="14"/>
    </row>
    <row r="9" customFormat="false" ht="51.75" hidden="false" customHeight="true" outlineLevel="0" collapsed="false">
      <c r="A9" s="13" t="n">
        <v>6</v>
      </c>
      <c r="B9" s="17" t="s">
        <v>684</v>
      </c>
      <c r="C9" s="14" t="s">
        <v>699</v>
      </c>
      <c r="D9" s="18" t="s">
        <v>700</v>
      </c>
      <c r="E9" s="84" t="s">
        <v>682</v>
      </c>
      <c r="F9" s="14" t="s">
        <v>701</v>
      </c>
      <c r="G9" s="14"/>
    </row>
    <row r="10" customFormat="false" ht="81.75" hidden="false" customHeight="true" outlineLevel="0" collapsed="false">
      <c r="A10" s="13" t="n">
        <v>7</v>
      </c>
      <c r="B10" s="17" t="s">
        <v>684</v>
      </c>
      <c r="C10" s="14" t="s">
        <v>702</v>
      </c>
      <c r="D10" s="18" t="s">
        <v>703</v>
      </c>
      <c r="E10" s="84" t="s">
        <v>682</v>
      </c>
      <c r="F10" s="14" t="s">
        <v>704</v>
      </c>
      <c r="G10" s="14"/>
    </row>
    <row r="11" customFormat="false" ht="66" hidden="false" customHeight="true" outlineLevel="0" collapsed="false">
      <c r="A11" s="13" t="n">
        <v>8</v>
      </c>
      <c r="B11" s="17" t="s">
        <v>705</v>
      </c>
      <c r="C11" s="14" t="s">
        <v>706</v>
      </c>
      <c r="D11" s="18" t="s">
        <v>707</v>
      </c>
      <c r="E11" s="84" t="s">
        <v>694</v>
      </c>
      <c r="F11" s="14" t="s">
        <v>708</v>
      </c>
      <c r="G11" s="14"/>
    </row>
    <row r="12" customFormat="false" ht="81.75" hidden="false" customHeight="true" outlineLevel="0" collapsed="false">
      <c r="A12" s="13" t="n">
        <v>9</v>
      </c>
      <c r="B12" s="17" t="s">
        <v>40</v>
      </c>
      <c r="C12" s="14" t="s">
        <v>709</v>
      </c>
      <c r="D12" s="18" t="s">
        <v>710</v>
      </c>
      <c r="E12" s="84" t="s">
        <v>682</v>
      </c>
      <c r="F12" s="14" t="s">
        <v>711</v>
      </c>
      <c r="G12" s="14"/>
    </row>
    <row r="13" customFormat="false" ht="81.75" hidden="false" customHeight="true" outlineLevel="0" collapsed="false">
      <c r="A13" s="13" t="n">
        <v>10</v>
      </c>
      <c r="B13" s="17" t="s">
        <v>712</v>
      </c>
      <c r="C13" s="14" t="s">
        <v>713</v>
      </c>
      <c r="D13" s="18" t="s">
        <v>714</v>
      </c>
      <c r="E13" s="84" t="s">
        <v>682</v>
      </c>
      <c r="F13" s="14" t="s">
        <v>715</v>
      </c>
      <c r="G13" s="14"/>
    </row>
    <row r="14" customFormat="false" ht="51.75" hidden="false" customHeight="true" outlineLevel="0" collapsed="false">
      <c r="A14" s="13" t="n">
        <v>11</v>
      </c>
      <c r="B14" s="17" t="s">
        <v>712</v>
      </c>
      <c r="C14" s="14" t="s">
        <v>716</v>
      </c>
      <c r="D14" s="18" t="s">
        <v>717</v>
      </c>
      <c r="E14" s="84" t="s">
        <v>694</v>
      </c>
      <c r="F14" s="14" t="s">
        <v>718</v>
      </c>
      <c r="G14" s="14"/>
    </row>
    <row r="15" customFormat="false" ht="51.75" hidden="false" customHeight="true" outlineLevel="0" collapsed="false">
      <c r="A15" s="13" t="n">
        <v>12</v>
      </c>
      <c r="B15" s="17" t="s">
        <v>712</v>
      </c>
      <c r="C15" s="14" t="s">
        <v>719</v>
      </c>
      <c r="D15" s="18" t="s">
        <v>720</v>
      </c>
      <c r="E15" s="84" t="s">
        <v>694</v>
      </c>
      <c r="F15" s="14" t="s">
        <v>721</v>
      </c>
      <c r="G15" s="14"/>
    </row>
    <row r="16" customFormat="false" ht="66" hidden="false" customHeight="true" outlineLevel="0" collapsed="false">
      <c r="A16" s="13" t="n">
        <v>13</v>
      </c>
      <c r="B16" s="17" t="s">
        <v>722</v>
      </c>
      <c r="C16" s="14" t="s">
        <v>723</v>
      </c>
      <c r="D16" s="18" t="s">
        <v>724</v>
      </c>
      <c r="E16" s="84" t="s">
        <v>682</v>
      </c>
      <c r="F16" s="14" t="s">
        <v>725</v>
      </c>
      <c r="G16" s="14"/>
    </row>
    <row r="17" customFormat="false" ht="51.75" hidden="false" customHeight="true" outlineLevel="0" collapsed="false">
      <c r="A17" s="13" t="n">
        <v>14</v>
      </c>
      <c r="B17" s="17" t="s">
        <v>722</v>
      </c>
      <c r="C17" s="14" t="s">
        <v>726</v>
      </c>
      <c r="D17" s="18" t="s">
        <v>724</v>
      </c>
      <c r="E17" s="84" t="s">
        <v>690</v>
      </c>
      <c r="F17" s="14" t="s">
        <v>727</v>
      </c>
      <c r="G17" s="14"/>
    </row>
    <row r="18" customFormat="false" ht="51.75" hidden="false" customHeight="true" outlineLevel="0" collapsed="false">
      <c r="A18" s="13" t="n">
        <v>15</v>
      </c>
      <c r="B18" s="17" t="s">
        <v>679</v>
      </c>
      <c r="C18" s="14" t="s">
        <v>728</v>
      </c>
      <c r="D18" s="18" t="s">
        <v>729</v>
      </c>
      <c r="E18" s="84" t="s">
        <v>690</v>
      </c>
      <c r="F18" s="14" t="s">
        <v>730</v>
      </c>
      <c r="G18" s="14"/>
    </row>
    <row r="19" customFormat="false" ht="81.75" hidden="false" customHeight="true" outlineLevel="0" collapsed="false">
      <c r="A19" s="13" t="n">
        <v>16</v>
      </c>
      <c r="B19" s="17" t="s">
        <v>731</v>
      </c>
      <c r="C19" s="14" t="s">
        <v>732</v>
      </c>
      <c r="D19" s="18" t="s">
        <v>733</v>
      </c>
      <c r="E19" s="84" t="s">
        <v>694</v>
      </c>
      <c r="F19" s="14" t="s">
        <v>734</v>
      </c>
      <c r="G19" s="14"/>
    </row>
    <row r="20" customFormat="false" ht="66" hidden="false" customHeight="true" outlineLevel="0" collapsed="false">
      <c r="A20" s="13" t="n">
        <v>17</v>
      </c>
      <c r="B20" s="17" t="s">
        <v>735</v>
      </c>
      <c r="C20" s="14" t="s">
        <v>736</v>
      </c>
      <c r="D20" s="18" t="s">
        <v>737</v>
      </c>
      <c r="E20" s="84" t="s">
        <v>694</v>
      </c>
      <c r="F20" s="14" t="s">
        <v>738</v>
      </c>
      <c r="G20" s="14"/>
    </row>
    <row r="22" customFormat="false" ht="23.85" hidden="false" customHeight="false" outlineLevel="0" collapsed="false">
      <c r="B22" s="85" t="s">
        <v>739</v>
      </c>
      <c r="C22" s="86" t="n">
        <f aca="false">COUNTIF(E4:E20,"Cao")</f>
        <v>8</v>
      </c>
    </row>
  </sheetData>
  <mergeCells count="2">
    <mergeCell ref="A1:G1"/>
    <mergeCell ref="A2:G2"/>
  </mergeCells>
  <conditionalFormatting sqref="E4:E20">
    <cfRule type="cellIs" priority="2" operator="equal" aboveAverage="0" equalAverage="0" bottom="0" percent="0" rank="0" text="" dxfId="6">
      <formula>"Cao"</formula>
    </cfRule>
    <cfRule type="cellIs" priority="3" operator="equal" aboveAverage="0" equalAverage="0" bottom="0" percent="0" rank="0" text="" dxfId="7">
      <formula>"Trung bình"</formula>
    </cfRule>
    <cfRule type="cellIs" priority="4" operator="equal" aboveAverage="0" equalAverage="0" bottom="0" percent="0" rank="0" text="" dxfId="8">
      <formula>"Thấp"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2026-10-04T01:43:13Z</dcterms:created>
  <dc:creator>openpyxl</dc:creator>
  <dc:description/>
  <dc:language>en-US</dc:language>
  <cp:lastModifiedBy/>
  <dcterms:modified xsi:type="dcterms:W3CDTF">2026-10-04T01:43:13Z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